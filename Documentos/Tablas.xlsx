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/>
  <mc:AlternateContent xmlns:mc="http://schemas.openxmlformats.org/markup-compatibility/2006">
    <mc:Choice Requires="x15">
      <x15ac:absPath xmlns:x15ac="http://schemas.microsoft.com/office/spreadsheetml/2010/11/ac" url="https://eiaedu-my.sharepoint.com/personal/pedro_sierra68_eia_edu_co/Documents/"/>
    </mc:Choice>
  </mc:AlternateContent>
  <xr:revisionPtr revIDLastSave="0" documentId="8_{7BE1AC1D-E5E8-4C68-A881-F213AFBE647E}" xr6:coauthVersionLast="47" xr6:coauthVersionMax="47" xr10:uidLastSave="{00000000-0000-0000-0000-000000000000}"/>
  <bookViews>
    <workbookView minimized="1" xWindow="8292" yWindow="4380" windowWidth="23040" windowHeight="12660" activeTab="1" xr2:uid="{00000000-000D-0000-FFFF-FFFF00000000}"/>
  </bookViews>
  <sheets>
    <sheet name="Dispositivos" sheetId="5" r:id="rId1"/>
    <sheet name="Asignación Puntos de Red" sheetId="1" r:id="rId2"/>
    <sheet name="ConClase" sheetId="2" r:id="rId3"/>
    <sheet name="SinClase" sheetId="3" r:id="rId4"/>
    <sheet name="Asignación Direccionamiento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3" l="1"/>
  <c r="O3" i="1"/>
  <c r="I18" i="2"/>
  <c r="I19" i="2"/>
  <c r="I20" i="2"/>
  <c r="I21" i="2"/>
  <c r="I22" i="2"/>
  <c r="I17" i="2"/>
  <c r="I23" i="2" s="1"/>
  <c r="H4" i="2"/>
  <c r="H3" i="2"/>
  <c r="H2" i="2"/>
  <c r="I25" i="3"/>
  <c r="I24" i="3"/>
  <c r="I23" i="3"/>
  <c r="I22" i="3"/>
  <c r="I20" i="3"/>
  <c r="I4" i="3"/>
  <c r="I3" i="3"/>
  <c r="I2" i="3"/>
  <c r="E8" i="3"/>
  <c r="E7" i="3"/>
  <c r="E6" i="3"/>
  <c r="E5" i="3"/>
  <c r="E4" i="3"/>
  <c r="E3" i="3"/>
  <c r="E4" i="2"/>
  <c r="E5" i="2"/>
  <c r="E6" i="2"/>
  <c r="E7" i="2"/>
  <c r="E8" i="2"/>
  <c r="E3" i="2"/>
  <c r="O8" i="1"/>
  <c r="O7" i="1"/>
  <c r="O6" i="1"/>
  <c r="O5" i="1"/>
  <c r="O4" i="1"/>
  <c r="I26" i="3" l="1"/>
</calcChain>
</file>

<file path=xl/sharedStrings.xml><?xml version="1.0" encoding="utf-8"?>
<sst xmlns="http://schemas.openxmlformats.org/spreadsheetml/2006/main" count="696" uniqueCount="322">
  <si>
    <t>Dispositivo</t>
  </si>
  <si>
    <t>Referencia</t>
  </si>
  <si>
    <t>Cantidad</t>
  </si>
  <si>
    <t>Puertos (RJ45) / Vel</t>
  </si>
  <si>
    <t>Puertos Uplink (SFP+)</t>
  </si>
  <si>
    <t>Max Range</t>
  </si>
  <si>
    <t xml:space="preserve">Piso 1 </t>
  </si>
  <si>
    <t>Piso 2</t>
  </si>
  <si>
    <t>Piso 3</t>
  </si>
  <si>
    <t>Piso 1 - Ed. 2</t>
  </si>
  <si>
    <t>Cableado UTP </t>
  </si>
  <si>
    <t>Cat 6a </t>
  </si>
  <si>
    <t>xx </t>
  </si>
  <si>
    <t>X / 10 gbps </t>
  </si>
  <si>
    <t>xx</t>
  </si>
  <si>
    <t>90 mts</t>
  </si>
  <si>
    <t>Fibra Óptica </t>
  </si>
  <si>
    <t>OM3 </t>
  </si>
  <si>
    <t>X / 40-100 gbps </t>
  </si>
  <si>
    <t>300 mts</t>
  </si>
  <si>
    <t>Switches </t>
  </si>
  <si>
    <r>
      <rPr>
        <sz val="12"/>
        <color rgb="FF000000"/>
        <rFont val="Arial"/>
      </rPr>
      <t xml:space="preserve">TP-Link </t>
    </r>
    <r>
      <rPr>
        <b/>
        <sz val="12"/>
        <color rgb="FF000000"/>
        <rFont val="Arial"/>
      </rPr>
      <t>TL-SG3452P  </t>
    </r>
    <r>
      <rPr>
        <sz val="12"/>
        <color rgb="FF000000"/>
        <rFont val="Arial"/>
      </rPr>
      <t>  </t>
    </r>
  </si>
  <si>
    <t>48 pts / 1 gbps cu</t>
  </si>
  <si>
    <t>4 que soportan 10gbps cu</t>
  </si>
  <si>
    <r>
      <rPr>
        <sz val="12"/>
        <color rgb="FF000000"/>
        <rFont val="Arial"/>
      </rPr>
      <t xml:space="preserve">TP-Link </t>
    </r>
    <r>
      <rPr>
        <b/>
        <sz val="12"/>
        <color rgb="FF000000"/>
        <rFont val="Arial"/>
      </rPr>
      <t>TL-SG3428MP</t>
    </r>
    <r>
      <rPr>
        <sz val="12"/>
        <color rgb="FF000000"/>
        <rFont val="Arial"/>
      </rPr>
      <t> </t>
    </r>
  </si>
  <si>
    <t>24 pts / 1 gbps cu</t>
  </si>
  <si>
    <t>Aps </t>
  </si>
  <si>
    <t> TP-Link EAP670 </t>
  </si>
  <si>
    <t>350 usr / 3550 Mbps </t>
  </si>
  <si>
    <t>50 mts</t>
  </si>
  <si>
    <t>Gabinetes </t>
  </si>
  <si>
    <t>4 </t>
  </si>
  <si>
    <t>Multistack</t>
  </si>
  <si>
    <t>Camaras</t>
  </si>
  <si>
    <t>TP-Link Tapo C310</t>
  </si>
  <si>
    <t>30 mts</t>
  </si>
  <si>
    <t>Piso</t>
  </si>
  <si>
    <t>Puntos Diponibles</t>
  </si>
  <si>
    <t xml:space="preserve">1 - Ed. 2 </t>
  </si>
  <si>
    <t>Área / Grupo de trabajo</t>
  </si>
  <si>
    <t>Persona / Oficina</t>
  </si>
  <si>
    <t>Total de puntos</t>
  </si>
  <si>
    <t>Edificio</t>
  </si>
  <si>
    <t>Dispositivos</t>
  </si>
  <si>
    <t>Área</t>
  </si>
  <si>
    <t>Total Puntos</t>
  </si>
  <si>
    <t>Administración</t>
  </si>
  <si>
    <t>Presidente</t>
  </si>
  <si>
    <t>PC</t>
  </si>
  <si>
    <t>Teléfono</t>
  </si>
  <si>
    <t>Smart TV</t>
  </si>
  <si>
    <t>Impresora</t>
  </si>
  <si>
    <t>Vicepresidente</t>
  </si>
  <si>
    <t>TIC</t>
  </si>
  <si>
    <t>Auxiliares (6)</t>
  </si>
  <si>
    <t>Compras</t>
  </si>
  <si>
    <t>Finanzas</t>
  </si>
  <si>
    <t>Marketing</t>
  </si>
  <si>
    <t>Producción</t>
  </si>
  <si>
    <t>Sala Reuniones</t>
  </si>
  <si>
    <t>Secretarias (3)</t>
  </si>
  <si>
    <t>Director</t>
  </si>
  <si>
    <t>Personal</t>
  </si>
  <si>
    <t>LAB</t>
  </si>
  <si>
    <t>Switch PoE</t>
  </si>
  <si>
    <t>Router</t>
  </si>
  <si>
    <t>Access Point</t>
  </si>
  <si>
    <t>PC Técnico</t>
  </si>
  <si>
    <t>Cámara IP</t>
  </si>
  <si>
    <t>Teléfono IP</t>
  </si>
  <si>
    <t>AP</t>
  </si>
  <si>
    <t>Servidor Torre</t>
  </si>
  <si>
    <t>Director Planta</t>
  </si>
  <si>
    <t>Auxiliares (2)</t>
  </si>
  <si>
    <t>Switch</t>
  </si>
  <si>
    <t>UPS</t>
  </si>
  <si>
    <t>NAS</t>
  </si>
  <si>
    <t>Jefe Compras</t>
  </si>
  <si>
    <t>Jefe Bienes</t>
  </si>
  <si>
    <t>Jefe Internacional</t>
  </si>
  <si>
    <t>Auxiliares (9)</t>
  </si>
  <si>
    <t>Utensilios Auxiliares</t>
  </si>
  <si>
    <t>Jefe Servicios</t>
  </si>
  <si>
    <t>Practicantes (2)</t>
  </si>
  <si>
    <t>Auxiliares (3)</t>
  </si>
  <si>
    <t>Subdirector</t>
  </si>
  <si>
    <t>Personal (8)</t>
  </si>
  <si>
    <t>Utensilios Personal</t>
  </si>
  <si>
    <t>Maquinaria (70)</t>
  </si>
  <si>
    <t>Interfaz de red para datos (c/u)</t>
  </si>
  <si>
    <t>Interfaz de red mantenimiento remoto (c/u)</t>
  </si>
  <si>
    <t>Cámaras Vigilancia(26)</t>
  </si>
  <si>
    <t>Estaciones de Control Bandas (3)</t>
  </si>
  <si>
    <t>Inventario</t>
  </si>
  <si>
    <t>Supervisor</t>
  </si>
  <si>
    <t>Consola M.</t>
  </si>
  <si>
    <t>Grabador Video</t>
  </si>
  <si>
    <t>Coordinador</t>
  </si>
  <si>
    <t>AP (2)</t>
  </si>
  <si>
    <t>Sala Reuniones (2)</t>
  </si>
  <si>
    <t>Aumento</t>
  </si>
  <si>
    <t xml:space="preserve">Puntos finales </t>
  </si>
  <si>
    <t xml:space="preserve">Necesidad </t>
  </si>
  <si>
    <t>Valor</t>
  </si>
  <si>
    <t xml:space="preserve">Max de Puntos </t>
  </si>
  <si>
    <t>Bits a usar (2^8)=512</t>
  </si>
  <si>
    <t>Dirección clase B</t>
  </si>
  <si>
    <t>172.16.0.0</t>
  </si>
  <si>
    <t>Puntos</t>
  </si>
  <si>
    <t>SubRed</t>
  </si>
  <si>
    <t>Mascara</t>
  </si>
  <si>
    <t>Broadcast</t>
  </si>
  <si>
    <t xml:space="preserve">Rango Desde </t>
  </si>
  <si>
    <t xml:space="preserve">Rango Hasta </t>
  </si>
  <si>
    <t>Desperdicio</t>
  </si>
  <si>
    <t>172.16.2.0/23</t>
  </si>
  <si>
    <t>/23</t>
  </si>
  <si>
    <t>172.16.3.255/23</t>
  </si>
  <si>
    <t>172.16.2.1</t>
  </si>
  <si>
    <t>172.16.3.254</t>
  </si>
  <si>
    <t>172.16.4.0/23</t>
  </si>
  <si>
    <t>172.16.5.255/23</t>
  </si>
  <si>
    <t>172.16.4.1</t>
  </si>
  <si>
    <t>172.16.5.254</t>
  </si>
  <si>
    <t>172.16.6.0/23</t>
  </si>
  <si>
    <t>172.16.7.255/23</t>
  </si>
  <si>
    <t>172.16.6.1</t>
  </si>
  <si>
    <t>172.16.7.254</t>
  </si>
  <si>
    <t>172.16.8.0/23</t>
  </si>
  <si>
    <t>172.16.9.255/23</t>
  </si>
  <si>
    <t>172.16.8.1</t>
  </si>
  <si>
    <t>172.16.9.254</t>
  </si>
  <si>
    <t>172.16.1.0/23</t>
  </si>
  <si>
    <t>172.16.11.255/23</t>
  </si>
  <si>
    <t>172.16.10.1</t>
  </si>
  <si>
    <t>172.16.11.254</t>
  </si>
  <si>
    <t>172.16.12.0/23</t>
  </si>
  <si>
    <t>172.6.13.255/23</t>
  </si>
  <si>
    <t>172.16.12.1</t>
  </si>
  <si>
    <t>172.6.13.254</t>
  </si>
  <si>
    <t>Total</t>
  </si>
  <si>
    <t xml:space="preserve"> </t>
  </si>
  <si>
    <t xml:space="preserve">Área </t>
  </si>
  <si>
    <t>Calculo</t>
  </si>
  <si>
    <t xml:space="preserve">Bits </t>
  </si>
  <si>
    <t>2^9</t>
  </si>
  <si>
    <t>2^7</t>
  </si>
  <si>
    <t>/25</t>
  </si>
  <si>
    <t>2^6</t>
  </si>
  <si>
    <t>/26</t>
  </si>
  <si>
    <t>2^5</t>
  </si>
  <si>
    <t>/27</t>
  </si>
  <si>
    <t xml:space="preserve">Finanzas </t>
  </si>
  <si>
    <t>Rango Desde</t>
  </si>
  <si>
    <t>Rango Hasta</t>
  </si>
  <si>
    <t>172.16.0.0/23</t>
  </si>
  <si>
    <t>172.16.1.255/23</t>
  </si>
  <si>
    <t>172.16.0.1</t>
  </si>
  <si>
    <t>172.16.1.254</t>
  </si>
  <si>
    <t>172.16.2.0/25</t>
  </si>
  <si>
    <t>172.16.2.127/25</t>
  </si>
  <si>
    <t>172.16.2.126</t>
  </si>
  <si>
    <t>172.16.2.128/26</t>
  </si>
  <si>
    <t>172.16.2.191/26</t>
  </si>
  <si>
    <t>172.16.2.129</t>
  </si>
  <si>
    <t>172.16.2.190</t>
  </si>
  <si>
    <t>172.16.2.192/26</t>
  </si>
  <si>
    <t>172.16.2.255/26</t>
  </si>
  <si>
    <t>172.16.2.193</t>
  </si>
  <si>
    <t>172.16.2.254</t>
  </si>
  <si>
    <t>172.16.3.0/27</t>
  </si>
  <si>
    <t>172.16.3.31/27</t>
  </si>
  <si>
    <t>172.16.3.1</t>
  </si>
  <si>
    <t>172.16.3.30</t>
  </si>
  <si>
    <t>172.16.3.32/27</t>
  </si>
  <si>
    <t>172.16.3.63/27</t>
  </si>
  <si>
    <t>172.16.3.33</t>
  </si>
  <si>
    <t>172.16.3.62</t>
  </si>
  <si>
    <t>Disposición del punto</t>
  </si>
  <si>
    <t>Lugar de ubicación</t>
  </si>
  <si>
    <t>Dirección IP con clase / Máscara</t>
  </si>
  <si>
    <t>Dirección IP sin clase / Máscara</t>
  </si>
  <si>
    <t>Administración / Presidente</t>
  </si>
  <si>
    <t>Edificio 1 / Piso 3</t>
  </si>
  <si>
    <t>172.16.2.1/23 - 172.16.2.4/23</t>
  </si>
  <si>
    <t>172.16.2.193/26 - 172.16.2.196/26</t>
  </si>
  <si>
    <t>Administración / Vicepresidente</t>
  </si>
  <si>
    <t>172.16.2.5/23 - 172.16.2.8/23</t>
  </si>
  <si>
    <t>172.16.2.197/26 - 172.16.2.200/26</t>
  </si>
  <si>
    <t>Administración / Auxiliares (6)</t>
  </si>
  <si>
    <t>172.16.2.9/23 - 172.16.2.26/23</t>
  </si>
  <si>
    <t>172.16.2.201/26 - 172.16.2.218/26</t>
  </si>
  <si>
    <t>Administración / Sala Reuniones</t>
  </si>
  <si>
    <t>172.16.2.27/23 - 172.16.2.28/23</t>
  </si>
  <si>
    <t>172.16.2.219/26 - 172.16.2.220/26</t>
  </si>
  <si>
    <t>Administración / Secretaria</t>
  </si>
  <si>
    <t>172.16.2.29/23 - 172.16.2.32/23</t>
  </si>
  <si>
    <t>172.16.2.221/26 - 172.16.2.224/26</t>
  </si>
  <si>
    <t>Edificio 1 / Piso 2</t>
  </si>
  <si>
    <t>172.16.2.33/23 - 172.16.2.36/23</t>
  </si>
  <si>
    <t>172.16.2.225/26 - 172.16.2.228/26</t>
  </si>
  <si>
    <t>172.16.2.37/23 - 172.16.2.40/23</t>
  </si>
  <si>
    <t>172.16.2.229/26 - 172.16.2.232/26</t>
  </si>
  <si>
    <t>TIC / Director</t>
  </si>
  <si>
    <t>Edificio 1 / Piso 1</t>
  </si>
  <si>
    <t>172.16.4.1/23 - 172.16.4.3/23</t>
  </si>
  <si>
    <t>172.16.2.1/25 - 172.16.2.3/25</t>
  </si>
  <si>
    <t>TIC / Personal</t>
  </si>
  <si>
    <t>172.16.4.4/23 - 172.16.4.8/23</t>
  </si>
  <si>
    <t>172.16.2.4/25 - 172.16.2.8/25</t>
  </si>
  <si>
    <t>TIC / LAB</t>
  </si>
  <si>
    <t>172.16.4.9/23 - 172.16.4.14/23</t>
  </si>
  <si>
    <t>172.16.2.9/25 - 172.16.2.14/25</t>
  </si>
  <si>
    <t>TIC / AP</t>
  </si>
  <si>
    <t>172.16.4.15/23</t>
  </si>
  <si>
    <t>172.16.2.15/25</t>
  </si>
  <si>
    <t>TIC / Sala Reuniones</t>
  </si>
  <si>
    <t>172.16.4.16/23 - 172.16.4.17/23</t>
  </si>
  <si>
    <t>172.16.2.16/25 - 172.16.2.17/25</t>
  </si>
  <si>
    <t>172.16.4.18/23 - 172.16.4.23/23</t>
  </si>
  <si>
    <t>172.16.2.18/25 - 172.16.2.23/25</t>
  </si>
  <si>
    <t>172.16.4.24/23</t>
  </si>
  <si>
    <t>172.16.2.24/25</t>
  </si>
  <si>
    <t>172.16.4.25/23 - 172.16.4.29/23</t>
  </si>
  <si>
    <t>172.16.2.25/25 - 172.16.2.29/25</t>
  </si>
  <si>
    <t>172.16.4.30/23</t>
  </si>
  <si>
    <t>172.16.2.30/25</t>
  </si>
  <si>
    <t>TIC / Director de planta</t>
  </si>
  <si>
    <t>Edificio 2 / Piso 1</t>
  </si>
  <si>
    <t>172.16.4.31/23 - 172.16.4.34/23</t>
  </si>
  <si>
    <t>172.16.2.31/25 - 172.16.2.34/25</t>
  </si>
  <si>
    <t>TIC / Auxiliares (2)</t>
  </si>
  <si>
    <t>172.16.4.35/23 - 172.16.4.40/23</t>
  </si>
  <si>
    <t>172.16.2.35/25 - 172.16.2.40/25</t>
  </si>
  <si>
    <t>172.16.4.41/23 - 172.16.4.46/23</t>
  </si>
  <si>
    <t>172.16.2.41/25 - 172.16.2.46/25</t>
  </si>
  <si>
    <t>172.16.4.47/23</t>
  </si>
  <si>
    <t>172.16.2.47/25</t>
  </si>
  <si>
    <t>Compras / Jefe Compras</t>
  </si>
  <si>
    <t>172.16.6.1/23 - 172.16.6.4/23</t>
  </si>
  <si>
    <t>172.16.2.129/26 - 172.16.2.132/26</t>
  </si>
  <si>
    <t>Compras / Jefe Bienes</t>
  </si>
  <si>
    <t>172.16.6.5/23 - 172.16.6.7/23</t>
  </si>
  <si>
    <t>172.16.2.133/26 - 172.16.2.135/26</t>
  </si>
  <si>
    <t>Compras / Jefe Internacional</t>
  </si>
  <si>
    <t>172.16.6.8/23 -172.16.6.10/23</t>
  </si>
  <si>
    <t>172.16.2.136/26 - 172.16.2.138/26</t>
  </si>
  <si>
    <t>Compras / Auxiliares (6)</t>
  </si>
  <si>
    <t>172.16.6.11/23 - 172.16.6.16/23</t>
  </si>
  <si>
    <t>172.16.2.139/26 - 172.16.2.144/26</t>
  </si>
  <si>
    <t>Compras / Utensilios Auxiliares</t>
  </si>
  <si>
    <t>172.16.6.17/23 - 172.16.6.20/23</t>
  </si>
  <si>
    <t>172.16.2.145/26 - 172.16.2.148/26</t>
  </si>
  <si>
    <t>Compras / Sala Reuniones</t>
  </si>
  <si>
    <t>172.16.6.21/23 - 172.16.6.22/23</t>
  </si>
  <si>
    <t>172.16.2.149/26 - 172.16.2.150/26</t>
  </si>
  <si>
    <t>Compras / Jefe Servicios</t>
  </si>
  <si>
    <t>172.16.6.23/23 - 172.16.6.26/23</t>
  </si>
  <si>
    <t>172.16.2.151/26 - 172.16.2.154/26</t>
  </si>
  <si>
    <t>Compras / Auxiliares (3)</t>
  </si>
  <si>
    <t>172.16.6.27/23 - 172.16.6.35/23</t>
  </si>
  <si>
    <t>172.16.2.155/26 - 172.16.2.163/26</t>
  </si>
  <si>
    <t>Compras / Practicantes (2)</t>
  </si>
  <si>
    <t>172.16.6.36/23 - 172.16.6.41/23</t>
  </si>
  <si>
    <t>172.16.2.164/26 - 172.16.2.169/26</t>
  </si>
  <si>
    <t>Finanzas / Director</t>
  </si>
  <si>
    <t>172.16.8.1/23 - 172.16.8.3/23</t>
  </si>
  <si>
    <t>172.16.6.33/27 - 172.16.6.35/27</t>
  </si>
  <si>
    <t>Finanzas / Auxiliares (2)</t>
  </si>
  <si>
    <t>172.16.8.4/23 - 172.16.8.9/23</t>
  </si>
  <si>
    <t>172.16.6.36/27 - 172.16.6.41/27</t>
  </si>
  <si>
    <t>Finanzas / Auxiliar</t>
  </si>
  <si>
    <t>172.16.8.10/23 - 172.16.8.12/23</t>
  </si>
  <si>
    <t>172.16.6.42/27 - 172.16.6.44/27</t>
  </si>
  <si>
    <t>Finanzas / Practicantes (2)</t>
  </si>
  <si>
    <t>172.16.8.13/23 - 172.16.8.16/23</t>
  </si>
  <si>
    <t>172.16.6.45/27 - 172.16.6.48/27</t>
  </si>
  <si>
    <t>Marketing / Director</t>
  </si>
  <si>
    <t>172.16.10.1/23 - 172.16.10.3/23</t>
  </si>
  <si>
    <t>172.16.3.1/27 - 172.16.3.3/27</t>
  </si>
  <si>
    <t>Marketing / Subdirector</t>
  </si>
  <si>
    <t>172.16.10.4/23 - 172.16.10.6/23</t>
  </si>
  <si>
    <t>172.16.3.4/27 - 172.16.3.6/27</t>
  </si>
  <si>
    <t>Marketing / Personal (8)</t>
  </si>
  <si>
    <t>172.16.10.7/23 - 172.16.10.14/23</t>
  </si>
  <si>
    <t>172.16.3.7/27 - 172.16.3.14/27</t>
  </si>
  <si>
    <t>Marketing / Utensilios</t>
  </si>
  <si>
    <t>172.16.10.15/23 - 172.16.10.18/23</t>
  </si>
  <si>
    <t>172.16.3.15/27 - 172.16.3.18/27</t>
  </si>
  <si>
    <t>Producción / Director</t>
  </si>
  <si>
    <t>172.16.12.1/23 - 172.16.12.4/23</t>
  </si>
  <si>
    <t>172.16.0.1/23 - 172.16.0.4/23</t>
  </si>
  <si>
    <t>Producción / Subdirector</t>
  </si>
  <si>
    <t>172.16.12.5/23 - 172.16.12.7/23</t>
  </si>
  <si>
    <t>172.16.0.5/23 - 172.16.0.7/23</t>
  </si>
  <si>
    <t>Producción / Maquinaria (70)</t>
  </si>
  <si>
    <t>172.16.12.8/23 - 172.16.12.147/23</t>
  </si>
  <si>
    <t>172.16.0.8/23 - 172.16.0.147/23</t>
  </si>
  <si>
    <t>Producción / Cámaras Vigilancia (26)</t>
  </si>
  <si>
    <t>172.16.12.148/23 - 172.16.12.173/23</t>
  </si>
  <si>
    <t>172.16.0.148/23 - 172.16.0.173/23</t>
  </si>
  <si>
    <t>Producción / Estaciones Control Bandas</t>
  </si>
  <si>
    <t>172.16.12.174/23 - 172.16.12.179/23</t>
  </si>
  <si>
    <t>172.16.0.174/23 - 172.16.0.179/23</t>
  </si>
  <si>
    <t>Producción / Inventario</t>
  </si>
  <si>
    <t>172.16.12.180/23 - 172.16.12.182/23</t>
  </si>
  <si>
    <t>172.16.0.180/23 - 172.16.0.182/23</t>
  </si>
  <si>
    <t>Producción / Supervisor</t>
  </si>
  <si>
    <t>172.16.12.183/23 - 172.16.12.188/23</t>
  </si>
  <si>
    <t>172.16.0.183/23 - 172.16.0.188/23</t>
  </si>
  <si>
    <t>Producción / Coordinador</t>
  </si>
  <si>
    <t>172.16.12.189/23 - 172.16.12.192/23</t>
  </si>
  <si>
    <t>172.16.0.189/23 - 172.16.0.192/23</t>
  </si>
  <si>
    <t>Producción / Auxiliares (2)</t>
  </si>
  <si>
    <t>172.16.12.193/23 - 172.16.12.196/23</t>
  </si>
  <si>
    <t>172.16.0.193/23 - 172.16.0.196/23</t>
  </si>
  <si>
    <t>Producción / AP (2)</t>
  </si>
  <si>
    <t>172.16.12.197/23 - 172.16.12.198/23</t>
  </si>
  <si>
    <t>172.16.0.197/23 - 172.16.0.198/23</t>
  </si>
  <si>
    <t>Producción / Sala Reuniones (2)</t>
  </si>
  <si>
    <t>172.16.12.199/23 - 172.16.12.200/23</t>
  </si>
  <si>
    <t>172.16.0.199/23 - 172.16.0.200/23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</si>
</sst>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name val="Arial"/>
    </font>
    <font>
      <sz val="12"/>
      <color rgb="FF000000"/>
      <name val="Arial"/>
    </font>
    <font>
      <b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/>
    <xf numFmtId="0" fontId="0" fillId="0" borderId="8" xfId="0" applyBorder="1"/>
    <xf numFmtId="0" fontId="0" fillId="2" borderId="1" xfId="0" applyFill="1" applyBorder="1"/>
    <xf numFmtId="0" fontId="0" fillId="3" borderId="1" xfId="0" applyFill="1" applyBorder="1"/>
    <xf numFmtId="0" fontId="0" fillId="0" borderId="10" xfId="0" applyBorder="1" applyAlignment="1">
      <alignment horizontal="center"/>
    </xf>
    <xf numFmtId="0" fontId="0" fillId="0" borderId="16" xfId="0" applyBorder="1"/>
    <xf numFmtId="0" fontId="0" fillId="0" borderId="19" xfId="0" applyBorder="1"/>
    <xf numFmtId="0" fontId="0" fillId="3" borderId="19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2" xfId="0" applyBorder="1"/>
    <xf numFmtId="0" fontId="0" fillId="0" borderId="17" xfId="0" applyBorder="1"/>
    <xf numFmtId="0" fontId="0" fillId="0" borderId="1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2" borderId="29" xfId="0" applyFill="1" applyBorder="1"/>
    <xf numFmtId="0" fontId="0" fillId="2" borderId="30" xfId="0" applyFill="1" applyBorder="1"/>
    <xf numFmtId="0" fontId="0" fillId="0" borderId="31" xfId="0" applyBorder="1" applyAlignment="1">
      <alignment horizontal="center"/>
    </xf>
    <xf numFmtId="0" fontId="0" fillId="2" borderId="32" xfId="0" applyFill="1" applyBorder="1"/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5" xfId="0" applyBorder="1"/>
    <xf numFmtId="0" fontId="0" fillId="0" borderId="15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23" xfId="0" applyNumberFormat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2" xfId="0" applyFill="1" applyBorder="1"/>
    <xf numFmtId="0" fontId="0" fillId="3" borderId="28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29" xfId="0" applyFill="1" applyBorder="1"/>
    <xf numFmtId="0" fontId="0" fillId="3" borderId="30" xfId="0" applyFill="1" applyBorder="1"/>
    <xf numFmtId="0" fontId="0" fillId="3" borderId="31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32" xfId="0" applyFill="1" applyBorder="1"/>
    <xf numFmtId="0" fontId="0" fillId="3" borderId="41" xfId="0" applyFill="1" applyBorder="1" applyAlignment="1">
      <alignment horizontal="center"/>
    </xf>
    <xf numFmtId="0" fontId="0" fillId="3" borderId="42" xfId="0" applyFill="1" applyBorder="1"/>
    <xf numFmtId="0" fontId="0" fillId="3" borderId="4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38" xfId="0" applyFill="1" applyBorder="1" applyAlignment="1">
      <alignment horizontal="center"/>
    </xf>
    <xf numFmtId="0" fontId="0" fillId="3" borderId="39" xfId="0" applyFill="1" applyBorder="1"/>
    <xf numFmtId="0" fontId="0" fillId="3" borderId="33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3" borderId="34" xfId="0" applyFill="1" applyBorder="1"/>
    <xf numFmtId="0" fontId="0" fillId="3" borderId="35" xfId="0" applyFill="1" applyBorder="1"/>
    <xf numFmtId="0" fontId="0" fillId="2" borderId="2" xfId="0" applyFill="1" applyBorder="1"/>
    <xf numFmtId="0" fontId="0" fillId="2" borderId="42" xfId="0" applyFill="1" applyBorder="1"/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0" fillId="3" borderId="56" xfId="0" applyFill="1" applyBorder="1" applyAlignment="1">
      <alignment horizontal="center"/>
    </xf>
    <xf numFmtId="0" fontId="0" fillId="3" borderId="57" xfId="0" applyFill="1" applyBorder="1" applyAlignment="1">
      <alignment horizontal="center"/>
    </xf>
    <xf numFmtId="0" fontId="0" fillId="3" borderId="58" xfId="0" applyFill="1" applyBorder="1" applyAlignment="1">
      <alignment horizontal="center"/>
    </xf>
    <xf numFmtId="0" fontId="0" fillId="3" borderId="59" xfId="0" applyFill="1" applyBorder="1" applyAlignment="1">
      <alignment horizontal="center"/>
    </xf>
    <xf numFmtId="0" fontId="0" fillId="3" borderId="60" xfId="0" applyFill="1" applyBorder="1" applyAlignment="1">
      <alignment horizontal="center"/>
    </xf>
    <xf numFmtId="0" fontId="1" fillId="3" borderId="67" xfId="0" applyFont="1" applyFill="1" applyBorder="1" applyAlignment="1">
      <alignment horizontal="center"/>
    </xf>
    <xf numFmtId="0" fontId="1" fillId="3" borderId="68" xfId="0" applyFont="1" applyFill="1" applyBorder="1" applyAlignment="1">
      <alignment horizontal="center"/>
    </xf>
    <xf numFmtId="0" fontId="1" fillId="3" borderId="69" xfId="0" applyFont="1" applyFill="1" applyBorder="1" applyAlignment="1">
      <alignment horizontal="center"/>
    </xf>
    <xf numFmtId="0" fontId="3" fillId="3" borderId="59" xfId="0" applyFont="1" applyFill="1" applyBorder="1" applyAlignment="1">
      <alignment horizontal="center"/>
    </xf>
    <xf numFmtId="0" fontId="1" fillId="3" borderId="70" xfId="0" applyFont="1" applyFill="1" applyBorder="1" applyAlignment="1">
      <alignment horizontal="center"/>
    </xf>
    <xf numFmtId="0" fontId="1" fillId="3" borderId="71" xfId="0" applyFont="1" applyFill="1" applyBorder="1" applyAlignment="1">
      <alignment horizontal="center"/>
    </xf>
    <xf numFmtId="0" fontId="1" fillId="3" borderId="72" xfId="0" applyFont="1" applyFill="1" applyBorder="1" applyAlignment="1">
      <alignment horizontal="center"/>
    </xf>
    <xf numFmtId="0" fontId="1" fillId="4" borderId="73" xfId="0" applyFont="1" applyFill="1" applyBorder="1" applyAlignment="1">
      <alignment horizontal="center"/>
    </xf>
    <xf numFmtId="0" fontId="0" fillId="4" borderId="74" xfId="0" applyFill="1" applyBorder="1" applyAlignment="1">
      <alignment horizontal="center"/>
    </xf>
    <xf numFmtId="0" fontId="0" fillId="0" borderId="55" xfId="0" applyBorder="1"/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43" xfId="0" applyBorder="1"/>
    <xf numFmtId="0" fontId="0" fillId="0" borderId="58" xfId="0" applyBorder="1"/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5" fillId="0" borderId="75" xfId="0" applyFont="1" applyBorder="1" applyAlignment="1">
      <alignment horizontal="center" vertical="center" wrapText="1"/>
    </xf>
    <xf numFmtId="0" fontId="5" fillId="0" borderId="78" xfId="0" applyFont="1" applyBorder="1" applyAlignment="1">
      <alignment horizontal="center" vertical="center" wrapText="1"/>
    </xf>
    <xf numFmtId="0" fontId="5" fillId="0" borderId="79" xfId="0" applyFont="1" applyBorder="1" applyAlignment="1">
      <alignment horizontal="center" vertical="center" wrapText="1"/>
    </xf>
    <xf numFmtId="0" fontId="5" fillId="0" borderId="80" xfId="0" applyFont="1" applyBorder="1" applyAlignment="1">
      <alignment horizontal="center" vertical="center" wrapText="1"/>
    </xf>
    <xf numFmtId="0" fontId="5" fillId="0" borderId="81" xfId="0" applyFont="1" applyBorder="1" applyAlignment="1">
      <alignment horizontal="center" vertical="center" wrapText="1"/>
    </xf>
    <xf numFmtId="0" fontId="5" fillId="0" borderId="82" xfId="0" applyFont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5" fillId="0" borderId="78" xfId="0" applyFont="1" applyBorder="1" applyAlignment="1">
      <alignment horizontal="center" vertical="center"/>
    </xf>
    <xf numFmtId="0" fontId="4" fillId="3" borderId="76" xfId="0" applyFont="1" applyFill="1" applyBorder="1" applyAlignment="1">
      <alignment horizontal="center" vertical="center" wrapText="1"/>
    </xf>
    <xf numFmtId="0" fontId="6" fillId="3" borderId="76" xfId="0" applyFont="1" applyFill="1" applyBorder="1" applyAlignment="1">
      <alignment horizontal="center" vertical="center"/>
    </xf>
    <xf numFmtId="0" fontId="6" fillId="3" borderId="77" xfId="0" applyFont="1" applyFill="1" applyBorder="1" applyAlignment="1">
      <alignment horizontal="center" vertical="center"/>
    </xf>
    <xf numFmtId="0" fontId="6" fillId="3" borderId="77" xfId="0" applyFont="1" applyFill="1" applyBorder="1" applyAlignment="1">
      <alignment horizontal="center" vertical="center" wrapText="1"/>
    </xf>
    <xf numFmtId="0" fontId="4" fillId="3" borderId="76" xfId="0" applyFont="1" applyFill="1" applyBorder="1" applyAlignment="1">
      <alignment horizontal="center" vertical="center"/>
    </xf>
    <xf numFmtId="0" fontId="7" fillId="0" borderId="7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3" borderId="17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41" xfId="0" applyBorder="1" applyAlignment="1">
      <alignment horizontal="center" vertical="top"/>
    </xf>
    <xf numFmtId="0" fontId="0" fillId="0" borderId="49" xfId="0" applyBorder="1" applyAlignment="1">
      <alignment horizontal="center" vertical="top"/>
    </xf>
    <xf numFmtId="0" fontId="0" fillId="0" borderId="50" xfId="0" applyBorder="1" applyAlignment="1">
      <alignment horizontal="center" vertical="top"/>
    </xf>
    <xf numFmtId="0" fontId="0" fillId="0" borderId="38" xfId="0" applyBorder="1" applyAlignment="1">
      <alignment horizontal="center" vertical="top"/>
    </xf>
    <xf numFmtId="0" fontId="0" fillId="0" borderId="2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top"/>
    </xf>
    <xf numFmtId="0" fontId="0" fillId="0" borderId="47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48" xfId="0" applyBorder="1" applyAlignment="1">
      <alignment horizontal="center" vertical="top"/>
    </xf>
    <xf numFmtId="0" fontId="0" fillId="3" borderId="41" xfId="0" applyFill="1" applyBorder="1" applyAlignment="1">
      <alignment horizontal="center" vertical="top"/>
    </xf>
    <xf numFmtId="0" fontId="0" fillId="3" borderId="38" xfId="0" applyFill="1" applyBorder="1" applyAlignment="1">
      <alignment horizontal="center" vertical="top"/>
    </xf>
    <xf numFmtId="0" fontId="0" fillId="3" borderId="9" xfId="0" applyFill="1" applyBorder="1" applyAlignment="1">
      <alignment horizontal="center" vertical="top"/>
    </xf>
    <xf numFmtId="0" fontId="0" fillId="3" borderId="10" xfId="0" applyFill="1" applyBorder="1" applyAlignment="1">
      <alignment horizontal="center" vertical="top"/>
    </xf>
    <xf numFmtId="0" fontId="0" fillId="3" borderId="51" xfId="0" applyFill="1" applyBorder="1" applyAlignment="1">
      <alignment horizontal="center"/>
    </xf>
    <xf numFmtId="0" fontId="0" fillId="3" borderId="52" xfId="0" applyFill="1" applyBorder="1" applyAlignment="1">
      <alignment horizontal="center"/>
    </xf>
    <xf numFmtId="0" fontId="0" fillId="3" borderId="53" xfId="0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0" fillId="3" borderId="46" xfId="0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top"/>
    </xf>
    <xf numFmtId="0" fontId="0" fillId="3" borderId="2" xfId="0" applyFill="1" applyBorder="1" applyAlignment="1">
      <alignment horizontal="center" vertical="center" wrapText="1"/>
    </xf>
    <xf numFmtId="0" fontId="0" fillId="3" borderId="46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BDB5A-724F-4C32-9E01-9462D0662294}">
  <dimension ref="B1:K16"/>
  <sheetViews>
    <sheetView zoomScaleNormal="100" workbookViewId="0">
      <selection activeCell="K5" sqref="K5"/>
    </sheetView>
  </sheetViews>
  <sheetFormatPr defaultRowHeight="14.45"/>
  <cols>
    <col min="2" max="2" width="16.28515625" customWidth="1"/>
    <col min="3" max="3" width="26" customWidth="1"/>
    <col min="4" max="4" width="14.5703125" customWidth="1"/>
    <col min="5" max="6" width="32.28515625" customWidth="1"/>
    <col min="7" max="7" width="15.7109375" customWidth="1"/>
    <col min="8" max="8" width="14.28515625" customWidth="1"/>
    <col min="9" max="9" width="13.5703125" customWidth="1"/>
    <col min="10" max="10" width="14.7109375" customWidth="1"/>
    <col min="11" max="11" width="13.28515625" customWidth="1"/>
    <col min="12" max="12" width="25.28515625" customWidth="1"/>
  </cols>
  <sheetData>
    <row r="1" spans="2:11" ht="15" thickBot="1"/>
    <row r="2" spans="2:11" ht="30">
      <c r="B2" s="131" t="s">
        <v>0</v>
      </c>
      <c r="C2" s="131" t="s">
        <v>1</v>
      </c>
      <c r="D2" s="131" t="s">
        <v>2</v>
      </c>
      <c r="E2" s="132" t="s">
        <v>3</v>
      </c>
      <c r="F2" s="132" t="s">
        <v>4</v>
      </c>
      <c r="G2" s="132" t="s">
        <v>5</v>
      </c>
      <c r="H2" s="132" t="s">
        <v>6</v>
      </c>
      <c r="I2" s="132" t="s">
        <v>7</v>
      </c>
      <c r="J2" s="132" t="s">
        <v>8</v>
      </c>
      <c r="K2" s="133" t="s">
        <v>9</v>
      </c>
    </row>
    <row r="3" spans="2:11" ht="15">
      <c r="B3" s="129" t="s">
        <v>10</v>
      </c>
      <c r="C3" s="121" t="s">
        <v>11</v>
      </c>
      <c r="D3" s="121" t="s">
        <v>12</v>
      </c>
      <c r="E3" s="123" t="s">
        <v>13</v>
      </c>
      <c r="F3" s="123" t="s">
        <v>14</v>
      </c>
      <c r="G3" s="123" t="s">
        <v>15</v>
      </c>
      <c r="H3" s="123" t="s">
        <v>14</v>
      </c>
      <c r="I3" s="123" t="s">
        <v>14</v>
      </c>
      <c r="J3" s="123" t="s">
        <v>14</v>
      </c>
      <c r="K3" s="123" t="s">
        <v>14</v>
      </c>
    </row>
    <row r="4" spans="2:11" ht="15.6" thickBot="1">
      <c r="B4" s="122" t="s">
        <v>16</v>
      </c>
      <c r="C4" s="121" t="s">
        <v>17</v>
      </c>
      <c r="D4" s="121" t="s">
        <v>12</v>
      </c>
      <c r="E4" s="123" t="s">
        <v>18</v>
      </c>
      <c r="F4" s="123" t="s">
        <v>14</v>
      </c>
      <c r="G4" s="123" t="s">
        <v>19</v>
      </c>
      <c r="H4" s="123" t="s">
        <v>14</v>
      </c>
      <c r="I4" s="123" t="s">
        <v>14</v>
      </c>
      <c r="J4" s="123" t="s">
        <v>14</v>
      </c>
      <c r="K4" s="123" t="s">
        <v>14</v>
      </c>
    </row>
    <row r="5" spans="2:11" ht="15">
      <c r="B5" s="122" t="s">
        <v>20</v>
      </c>
      <c r="C5" s="135" t="s">
        <v>21</v>
      </c>
      <c r="D5" s="121">
        <v>9</v>
      </c>
      <c r="E5" s="123" t="s">
        <v>22</v>
      </c>
      <c r="F5" s="123" t="s">
        <v>23</v>
      </c>
      <c r="G5" s="123" t="s">
        <v>14</v>
      </c>
      <c r="H5" s="123">
        <v>1</v>
      </c>
      <c r="I5" s="123">
        <v>1</v>
      </c>
      <c r="J5" s="123">
        <v>1</v>
      </c>
      <c r="K5" s="123">
        <v>6</v>
      </c>
    </row>
    <row r="6" spans="2:11" ht="15">
      <c r="B6" s="122" t="s">
        <v>20</v>
      </c>
      <c r="C6" s="135" t="s">
        <v>24</v>
      </c>
      <c r="D6" s="121">
        <v>4</v>
      </c>
      <c r="E6" s="123" t="s">
        <v>25</v>
      </c>
      <c r="F6" s="123" t="s">
        <v>23</v>
      </c>
      <c r="G6" s="123" t="s">
        <v>14</v>
      </c>
      <c r="H6" s="123">
        <v>2</v>
      </c>
      <c r="I6" s="123">
        <v>1</v>
      </c>
      <c r="J6" s="123">
        <v>1</v>
      </c>
      <c r="K6" s="123" t="s">
        <v>14</v>
      </c>
    </row>
    <row r="7" spans="2:11" ht="15.6" thickBot="1">
      <c r="B7" s="122" t="s">
        <v>26</v>
      </c>
      <c r="C7" s="121" t="s">
        <v>27</v>
      </c>
      <c r="D7" s="121">
        <v>6</v>
      </c>
      <c r="E7" s="123" t="s">
        <v>28</v>
      </c>
      <c r="F7" s="123" t="s">
        <v>14</v>
      </c>
      <c r="G7" s="123" t="s">
        <v>29</v>
      </c>
      <c r="H7" s="123">
        <v>1</v>
      </c>
      <c r="I7" s="123">
        <v>1</v>
      </c>
      <c r="J7" s="123">
        <v>1</v>
      </c>
      <c r="K7" s="123">
        <v>3</v>
      </c>
    </row>
    <row r="8" spans="2:11" ht="21.6" customHeight="1" thickBot="1">
      <c r="B8" s="124" t="s">
        <v>30</v>
      </c>
      <c r="C8" s="125" t="s">
        <v>12</v>
      </c>
      <c r="D8" s="125" t="s">
        <v>31</v>
      </c>
      <c r="E8" s="126" t="s">
        <v>32</v>
      </c>
      <c r="F8" s="126" t="s">
        <v>14</v>
      </c>
      <c r="G8" s="126" t="s">
        <v>14</v>
      </c>
      <c r="H8" s="126">
        <v>1</v>
      </c>
      <c r="I8" s="126">
        <v>1</v>
      </c>
      <c r="J8" s="126">
        <v>1</v>
      </c>
      <c r="K8" s="126">
        <v>1</v>
      </c>
    </row>
    <row r="9" spans="2:11" ht="15.6" thickBot="1">
      <c r="B9" s="124" t="s">
        <v>33</v>
      </c>
      <c r="C9" s="125" t="s">
        <v>34</v>
      </c>
      <c r="D9" s="125">
        <v>30</v>
      </c>
      <c r="E9" s="126" t="s">
        <v>14</v>
      </c>
      <c r="F9" s="126" t="s">
        <v>14</v>
      </c>
      <c r="G9" s="126" t="s">
        <v>35</v>
      </c>
      <c r="H9" s="126" t="s">
        <v>14</v>
      </c>
      <c r="I9" s="126" t="s">
        <v>14</v>
      </c>
      <c r="J9" s="126" t="s">
        <v>14</v>
      </c>
      <c r="K9" s="126">
        <v>30</v>
      </c>
    </row>
    <row r="10" spans="2:11" ht="15"/>
    <row r="11" spans="2:11" ht="15"/>
    <row r="12" spans="2:11" ht="15.75">
      <c r="B12" s="130" t="s">
        <v>36</v>
      </c>
      <c r="C12" s="134" t="s">
        <v>37</v>
      </c>
    </row>
    <row r="13" spans="2:11" ht="15.6" thickBot="1">
      <c r="B13" s="122">
        <v>1</v>
      </c>
      <c r="C13" s="121">
        <v>48</v>
      </c>
    </row>
    <row r="14" spans="2:11" ht="15.6" thickBot="1">
      <c r="B14" s="122">
        <v>2</v>
      </c>
      <c r="C14" s="121">
        <v>72</v>
      </c>
    </row>
    <row r="15" spans="2:11" ht="15.6" thickBot="1">
      <c r="B15" s="122">
        <v>3</v>
      </c>
      <c r="C15" s="121">
        <v>72</v>
      </c>
    </row>
    <row r="16" spans="2:11" ht="15">
      <c r="B16" s="122" t="s">
        <v>38</v>
      </c>
      <c r="C16" s="121">
        <v>288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75"/>
  <sheetViews>
    <sheetView tabSelected="1" topLeftCell="A55" zoomScale="160" zoomScaleNormal="160" workbookViewId="0">
      <selection activeCell="F78" sqref="F78"/>
    </sheetView>
  </sheetViews>
  <sheetFormatPr defaultColWidth="8.85546875" defaultRowHeight="14.45"/>
  <cols>
    <col min="1" max="1" width="3" customWidth="1"/>
    <col min="2" max="2" width="22.42578125" style="1" bestFit="1" customWidth="1"/>
    <col min="3" max="3" width="20.5703125" style="1" bestFit="1" customWidth="1"/>
    <col min="4" max="4" width="14.85546875" style="1" bestFit="1" customWidth="1"/>
    <col min="5" max="6" width="8.7109375" style="1" customWidth="1"/>
    <col min="7" max="7" width="12.42578125" style="1" customWidth="1"/>
    <col min="8" max="8" width="12.5703125" style="1" bestFit="1" customWidth="1"/>
    <col min="9" max="10" width="12.42578125" style="1" customWidth="1"/>
    <col min="11" max="11" width="14.7109375" style="1" bestFit="1" customWidth="1"/>
    <col min="12" max="12" width="12.42578125" style="1" customWidth="1"/>
    <col min="14" max="14" width="14" bestFit="1" customWidth="1"/>
    <col min="15" max="15" width="12.140625" bestFit="1" customWidth="1"/>
  </cols>
  <sheetData>
    <row r="1" spans="2:15" ht="15" thickBot="1"/>
    <row r="2" spans="2:15" s="1" customFormat="1" ht="15" thickBot="1">
      <c r="B2" s="83" t="s">
        <v>39</v>
      </c>
      <c r="C2" s="84" t="s">
        <v>40</v>
      </c>
      <c r="D2" s="84" t="s">
        <v>41</v>
      </c>
      <c r="E2" s="84" t="s">
        <v>36</v>
      </c>
      <c r="F2" s="84" t="s">
        <v>42</v>
      </c>
      <c r="G2" s="138" t="s">
        <v>43</v>
      </c>
      <c r="H2" s="139"/>
      <c r="I2" s="139"/>
      <c r="J2" s="139"/>
      <c r="K2" s="139"/>
      <c r="L2" s="140"/>
      <c r="N2" s="49" t="s">
        <v>44</v>
      </c>
      <c r="O2" s="50" t="s">
        <v>45</v>
      </c>
    </row>
    <row r="3" spans="2:15">
      <c r="B3" s="41" t="s">
        <v>46</v>
      </c>
      <c r="C3" s="42" t="s">
        <v>47</v>
      </c>
      <c r="D3" s="42">
        <v>4</v>
      </c>
      <c r="E3" s="42">
        <v>3</v>
      </c>
      <c r="F3" s="42">
        <v>1</v>
      </c>
      <c r="G3" s="42" t="s">
        <v>48</v>
      </c>
      <c r="H3" s="42" t="s">
        <v>49</v>
      </c>
      <c r="I3" s="42" t="s">
        <v>50</v>
      </c>
      <c r="J3" s="42" t="s">
        <v>51</v>
      </c>
      <c r="K3" s="43"/>
      <c r="L3" s="44"/>
      <c r="N3" s="51" t="s">
        <v>46</v>
      </c>
      <c r="O3" s="52">
        <f>SUM(D3:D14)</f>
        <v>40</v>
      </c>
    </row>
    <row r="4" spans="2:15">
      <c r="B4" s="45" t="s">
        <v>46</v>
      </c>
      <c r="C4" s="2" t="s">
        <v>52</v>
      </c>
      <c r="D4" s="2">
        <v>4</v>
      </c>
      <c r="E4" s="2">
        <v>3</v>
      </c>
      <c r="F4" s="2">
        <v>1</v>
      </c>
      <c r="G4" s="2" t="s">
        <v>48</v>
      </c>
      <c r="H4" s="2" t="s">
        <v>49</v>
      </c>
      <c r="I4" s="2" t="s">
        <v>50</v>
      </c>
      <c r="J4" s="2" t="s">
        <v>51</v>
      </c>
      <c r="K4" s="27"/>
      <c r="L4" s="46"/>
      <c r="N4" s="53" t="s">
        <v>53</v>
      </c>
      <c r="O4" s="54">
        <f>SUM(D15:D28)</f>
        <v>47</v>
      </c>
    </row>
    <row r="5" spans="2:15">
      <c r="B5" s="143" t="s">
        <v>46</v>
      </c>
      <c r="C5" s="136" t="s">
        <v>54</v>
      </c>
      <c r="D5" s="2">
        <v>3</v>
      </c>
      <c r="E5" s="2">
        <v>3</v>
      </c>
      <c r="F5" s="2">
        <v>1</v>
      </c>
      <c r="G5" s="2" t="s">
        <v>48</v>
      </c>
      <c r="H5" s="2" t="s">
        <v>49</v>
      </c>
      <c r="I5" s="2" t="s">
        <v>51</v>
      </c>
      <c r="J5" s="25"/>
      <c r="K5" s="27"/>
      <c r="L5" s="46"/>
      <c r="N5" s="53" t="s">
        <v>55</v>
      </c>
      <c r="O5" s="54">
        <f>SUM(D29:D45)</f>
        <v>41</v>
      </c>
    </row>
    <row r="6" spans="2:15">
      <c r="B6" s="144"/>
      <c r="C6" s="136"/>
      <c r="D6" s="2">
        <v>3</v>
      </c>
      <c r="E6" s="2">
        <v>3</v>
      </c>
      <c r="F6" s="2">
        <v>1</v>
      </c>
      <c r="G6" s="2" t="s">
        <v>48</v>
      </c>
      <c r="H6" s="2" t="s">
        <v>49</v>
      </c>
      <c r="I6" s="2" t="s">
        <v>51</v>
      </c>
      <c r="J6" s="25"/>
      <c r="K6" s="27"/>
      <c r="L6" s="46"/>
      <c r="N6" s="53" t="s">
        <v>56</v>
      </c>
      <c r="O6" s="54">
        <f>SUM(D46:D50)</f>
        <v>16</v>
      </c>
    </row>
    <row r="7" spans="2:15">
      <c r="B7" s="144"/>
      <c r="C7" s="136"/>
      <c r="D7" s="2">
        <v>3</v>
      </c>
      <c r="E7" s="2">
        <v>3</v>
      </c>
      <c r="F7" s="2">
        <v>1</v>
      </c>
      <c r="G7" s="2" t="s">
        <v>48</v>
      </c>
      <c r="H7" s="2" t="s">
        <v>49</v>
      </c>
      <c r="I7" s="2" t="s">
        <v>51</v>
      </c>
      <c r="J7" s="25"/>
      <c r="K7" s="27"/>
      <c r="L7" s="46"/>
      <c r="N7" s="53" t="s">
        <v>57</v>
      </c>
      <c r="O7" s="54">
        <f>SUM(D51:D61)</f>
        <v>18</v>
      </c>
    </row>
    <row r="8" spans="2:15" ht="15" thickBot="1">
      <c r="B8" s="144"/>
      <c r="C8" s="136"/>
      <c r="D8" s="2">
        <v>3</v>
      </c>
      <c r="E8" s="2">
        <v>3</v>
      </c>
      <c r="F8" s="2">
        <v>1</v>
      </c>
      <c r="G8" s="2" t="s">
        <v>48</v>
      </c>
      <c r="H8" s="2" t="s">
        <v>49</v>
      </c>
      <c r="I8" s="2" t="s">
        <v>51</v>
      </c>
      <c r="J8" s="25"/>
      <c r="K8" s="27"/>
      <c r="L8" s="46"/>
      <c r="N8" s="55" t="s">
        <v>58</v>
      </c>
      <c r="O8" s="56">
        <f>SUM(D62:D75)</f>
        <v>200</v>
      </c>
    </row>
    <row r="9" spans="2:15">
      <c r="B9" s="144"/>
      <c r="C9" s="136"/>
      <c r="D9" s="2">
        <v>3</v>
      </c>
      <c r="E9" s="2">
        <v>3</v>
      </c>
      <c r="F9" s="2">
        <v>1</v>
      </c>
      <c r="G9" s="2" t="s">
        <v>48</v>
      </c>
      <c r="H9" s="2" t="s">
        <v>49</v>
      </c>
      <c r="I9" s="2" t="s">
        <v>51</v>
      </c>
      <c r="J9" s="25"/>
      <c r="K9" s="27"/>
      <c r="L9" s="46"/>
    </row>
    <row r="10" spans="2:15">
      <c r="B10" s="146"/>
      <c r="C10" s="136"/>
      <c r="D10" s="2">
        <v>3</v>
      </c>
      <c r="E10" s="2">
        <v>3</v>
      </c>
      <c r="F10" s="2">
        <v>1</v>
      </c>
      <c r="G10" s="2" t="s">
        <v>48</v>
      </c>
      <c r="H10" s="2" t="s">
        <v>49</v>
      </c>
      <c r="I10" s="2" t="s">
        <v>51</v>
      </c>
      <c r="J10" s="25"/>
      <c r="K10" s="27"/>
      <c r="L10" s="46"/>
    </row>
    <row r="11" spans="2:15">
      <c r="B11" s="45" t="s">
        <v>46</v>
      </c>
      <c r="C11" s="2" t="s">
        <v>59</v>
      </c>
      <c r="D11" s="2">
        <v>2</v>
      </c>
      <c r="E11" s="2">
        <v>3</v>
      </c>
      <c r="F11" s="2">
        <v>1</v>
      </c>
      <c r="G11" s="2" t="s">
        <v>48</v>
      </c>
      <c r="H11" s="2" t="s">
        <v>50</v>
      </c>
      <c r="I11" s="2"/>
      <c r="J11" s="25"/>
      <c r="K11" s="27"/>
      <c r="L11" s="46"/>
    </row>
    <row r="12" spans="2:15">
      <c r="B12" s="143" t="s">
        <v>46</v>
      </c>
      <c r="C12" s="136" t="s">
        <v>60</v>
      </c>
      <c r="D12" s="2">
        <v>4</v>
      </c>
      <c r="E12" s="2">
        <v>3</v>
      </c>
      <c r="F12" s="2">
        <v>1</v>
      </c>
      <c r="G12" s="2" t="s">
        <v>48</v>
      </c>
      <c r="H12" s="2" t="s">
        <v>48</v>
      </c>
      <c r="I12" s="2" t="s">
        <v>49</v>
      </c>
      <c r="J12" s="2" t="s">
        <v>49</v>
      </c>
      <c r="K12" s="27"/>
      <c r="L12" s="46"/>
    </row>
    <row r="13" spans="2:15">
      <c r="B13" s="144"/>
      <c r="C13" s="136"/>
      <c r="D13" s="2">
        <v>4</v>
      </c>
      <c r="E13" s="2">
        <v>2</v>
      </c>
      <c r="F13" s="2">
        <v>1</v>
      </c>
      <c r="G13" s="2" t="s">
        <v>48</v>
      </c>
      <c r="H13" s="2" t="s">
        <v>48</v>
      </c>
      <c r="I13" s="2" t="s">
        <v>49</v>
      </c>
      <c r="J13" s="2" t="s">
        <v>49</v>
      </c>
      <c r="K13" s="27"/>
      <c r="L13" s="46"/>
    </row>
    <row r="14" spans="2:15" ht="15" thickBot="1">
      <c r="B14" s="145"/>
      <c r="C14" s="137"/>
      <c r="D14" s="3">
        <v>4</v>
      </c>
      <c r="E14" s="3">
        <v>1</v>
      </c>
      <c r="F14" s="3">
        <v>1</v>
      </c>
      <c r="G14" s="3" t="s">
        <v>48</v>
      </c>
      <c r="H14" s="3" t="s">
        <v>48</v>
      </c>
      <c r="I14" s="3" t="s">
        <v>49</v>
      </c>
      <c r="J14" s="3" t="s">
        <v>49</v>
      </c>
      <c r="K14" s="81"/>
      <c r="L14" s="82"/>
    </row>
    <row r="15" spans="2:15">
      <c r="B15" s="64" t="s">
        <v>53</v>
      </c>
      <c r="C15" s="65" t="s">
        <v>61</v>
      </c>
      <c r="D15" s="65">
        <v>3</v>
      </c>
      <c r="E15" s="65">
        <v>1</v>
      </c>
      <c r="F15" s="65">
        <v>1</v>
      </c>
      <c r="G15" s="65" t="s">
        <v>48</v>
      </c>
      <c r="H15" s="65" t="s">
        <v>49</v>
      </c>
      <c r="I15" s="65" t="s">
        <v>51</v>
      </c>
      <c r="J15" s="66"/>
      <c r="K15" s="66"/>
      <c r="L15" s="67"/>
    </row>
    <row r="16" spans="2:15">
      <c r="B16" s="68" t="s">
        <v>53</v>
      </c>
      <c r="C16" s="7" t="s">
        <v>62</v>
      </c>
      <c r="D16" s="7">
        <v>5</v>
      </c>
      <c r="E16" s="7">
        <v>1</v>
      </c>
      <c r="F16" s="7">
        <v>1</v>
      </c>
      <c r="G16" s="7" t="s">
        <v>48</v>
      </c>
      <c r="H16" s="7" t="s">
        <v>48</v>
      </c>
      <c r="I16" s="7" t="s">
        <v>48</v>
      </c>
      <c r="J16" s="7" t="s">
        <v>51</v>
      </c>
      <c r="K16" s="7" t="s">
        <v>49</v>
      </c>
      <c r="L16" s="69"/>
    </row>
    <row r="17" spans="2:12">
      <c r="B17" s="68" t="s">
        <v>53</v>
      </c>
      <c r="C17" s="7" t="s">
        <v>63</v>
      </c>
      <c r="D17" s="7">
        <v>6</v>
      </c>
      <c r="E17" s="7">
        <v>1</v>
      </c>
      <c r="F17" s="7">
        <v>1</v>
      </c>
      <c r="G17" s="7" t="s">
        <v>64</v>
      </c>
      <c r="H17" s="7" t="s">
        <v>65</v>
      </c>
      <c r="I17" s="7" t="s">
        <v>66</v>
      </c>
      <c r="J17" s="7" t="s">
        <v>67</v>
      </c>
      <c r="K17" s="7" t="s">
        <v>68</v>
      </c>
      <c r="L17" s="69" t="s">
        <v>69</v>
      </c>
    </row>
    <row r="18" spans="2:12">
      <c r="B18" s="68" t="s">
        <v>53</v>
      </c>
      <c r="C18" s="7" t="s">
        <v>70</v>
      </c>
      <c r="D18" s="7">
        <v>1</v>
      </c>
      <c r="E18" s="7">
        <v>1</v>
      </c>
      <c r="F18" s="7">
        <v>1</v>
      </c>
      <c r="G18" s="28"/>
      <c r="H18" s="28"/>
      <c r="I18" s="28"/>
      <c r="J18" s="28"/>
      <c r="K18" s="28"/>
      <c r="L18" s="70"/>
    </row>
    <row r="19" spans="2:12">
      <c r="B19" s="68" t="s">
        <v>53</v>
      </c>
      <c r="C19" s="7" t="s">
        <v>59</v>
      </c>
      <c r="D19" s="7">
        <v>2</v>
      </c>
      <c r="E19" s="7">
        <v>1</v>
      </c>
      <c r="F19" s="7">
        <v>1</v>
      </c>
      <c r="G19" s="7" t="s">
        <v>48</v>
      </c>
      <c r="H19" s="7" t="s">
        <v>50</v>
      </c>
      <c r="I19" s="28"/>
      <c r="J19" s="28"/>
      <c r="K19" s="28"/>
      <c r="L19" s="70"/>
    </row>
    <row r="20" spans="2:12">
      <c r="B20" s="68" t="s">
        <v>53</v>
      </c>
      <c r="C20" s="7" t="s">
        <v>63</v>
      </c>
      <c r="D20" s="7">
        <v>6</v>
      </c>
      <c r="E20" s="7">
        <v>2</v>
      </c>
      <c r="F20" s="7">
        <v>1</v>
      </c>
      <c r="G20" s="7" t="s">
        <v>64</v>
      </c>
      <c r="H20" s="7" t="s">
        <v>66</v>
      </c>
      <c r="I20" s="7" t="s">
        <v>67</v>
      </c>
      <c r="J20" s="7" t="s">
        <v>69</v>
      </c>
      <c r="K20" s="7" t="s">
        <v>68</v>
      </c>
      <c r="L20" s="69" t="s">
        <v>65</v>
      </c>
    </row>
    <row r="21" spans="2:12">
      <c r="B21" s="71" t="s">
        <v>53</v>
      </c>
      <c r="C21" s="8" t="s">
        <v>70</v>
      </c>
      <c r="D21" s="8">
        <v>1</v>
      </c>
      <c r="E21" s="8">
        <v>2</v>
      </c>
      <c r="F21" s="8">
        <v>1</v>
      </c>
      <c r="G21" s="63"/>
      <c r="H21" s="63"/>
      <c r="I21" s="63"/>
      <c r="J21" s="63"/>
      <c r="K21" s="63"/>
      <c r="L21" s="72"/>
    </row>
    <row r="22" spans="2:12">
      <c r="B22" s="73" t="s">
        <v>53</v>
      </c>
      <c r="C22" s="62" t="s">
        <v>63</v>
      </c>
      <c r="D22" s="62">
        <v>5</v>
      </c>
      <c r="E22" s="62">
        <v>3</v>
      </c>
      <c r="F22" s="62">
        <v>1</v>
      </c>
      <c r="G22" s="62" t="s">
        <v>67</v>
      </c>
      <c r="H22" s="62" t="s">
        <v>71</v>
      </c>
      <c r="I22" s="62" t="s">
        <v>64</v>
      </c>
      <c r="J22" s="62" t="s">
        <v>65</v>
      </c>
      <c r="K22" s="62" t="s">
        <v>68</v>
      </c>
      <c r="L22" s="74"/>
    </row>
    <row r="23" spans="2:12">
      <c r="B23" s="73" t="s">
        <v>53</v>
      </c>
      <c r="C23" s="62" t="s">
        <v>70</v>
      </c>
      <c r="D23" s="62">
        <v>1</v>
      </c>
      <c r="E23" s="62">
        <v>3</v>
      </c>
      <c r="F23" s="62">
        <v>1</v>
      </c>
      <c r="G23" s="62"/>
      <c r="H23" s="62"/>
      <c r="I23" s="62"/>
      <c r="J23" s="62"/>
      <c r="K23" s="62"/>
      <c r="L23" s="74"/>
    </row>
    <row r="24" spans="2:12">
      <c r="B24" s="75" t="s">
        <v>53</v>
      </c>
      <c r="C24" s="47" t="s">
        <v>72</v>
      </c>
      <c r="D24" s="47">
        <v>4</v>
      </c>
      <c r="E24" s="47">
        <v>1</v>
      </c>
      <c r="F24" s="47">
        <v>2</v>
      </c>
      <c r="G24" s="47" t="s">
        <v>48</v>
      </c>
      <c r="H24" s="47" t="s">
        <v>49</v>
      </c>
      <c r="I24" s="47" t="s">
        <v>50</v>
      </c>
      <c r="J24" s="47" t="s">
        <v>51</v>
      </c>
      <c r="K24" s="48"/>
      <c r="L24" s="76"/>
    </row>
    <row r="25" spans="2:12">
      <c r="B25" s="155" t="s">
        <v>53</v>
      </c>
      <c r="C25" s="141" t="s">
        <v>73</v>
      </c>
      <c r="D25" s="7">
        <v>3</v>
      </c>
      <c r="E25" s="7">
        <v>1</v>
      </c>
      <c r="F25" s="7">
        <v>2</v>
      </c>
      <c r="G25" s="7" t="s">
        <v>48</v>
      </c>
      <c r="H25" s="7" t="s">
        <v>49</v>
      </c>
      <c r="I25" s="7" t="s">
        <v>50</v>
      </c>
      <c r="J25" s="7" t="s">
        <v>51</v>
      </c>
      <c r="K25" s="28"/>
      <c r="L25" s="70"/>
    </row>
    <row r="26" spans="2:12">
      <c r="B26" s="156"/>
      <c r="C26" s="142"/>
      <c r="D26" s="7">
        <v>3</v>
      </c>
      <c r="E26" s="7">
        <v>1</v>
      </c>
      <c r="F26" s="7">
        <v>2</v>
      </c>
      <c r="G26" s="7" t="s">
        <v>48</v>
      </c>
      <c r="H26" s="7" t="s">
        <v>49</v>
      </c>
      <c r="I26" s="7" t="s">
        <v>50</v>
      </c>
      <c r="J26" s="7" t="s">
        <v>51</v>
      </c>
      <c r="K26" s="28"/>
      <c r="L26" s="70"/>
    </row>
    <row r="27" spans="2:12">
      <c r="B27" s="68" t="s">
        <v>53</v>
      </c>
      <c r="C27" s="7" t="s">
        <v>63</v>
      </c>
      <c r="D27" s="7">
        <v>6</v>
      </c>
      <c r="E27" s="7">
        <v>1</v>
      </c>
      <c r="F27" s="7">
        <v>2</v>
      </c>
      <c r="G27" s="7" t="s">
        <v>74</v>
      </c>
      <c r="H27" s="7" t="s">
        <v>66</v>
      </c>
      <c r="I27" s="7" t="s">
        <v>67</v>
      </c>
      <c r="J27" s="7" t="s">
        <v>68</v>
      </c>
      <c r="K27" s="7" t="s">
        <v>75</v>
      </c>
      <c r="L27" s="69" t="s">
        <v>76</v>
      </c>
    </row>
    <row r="28" spans="2:12" ht="15" thickBot="1">
      <c r="B28" s="77" t="s">
        <v>53</v>
      </c>
      <c r="C28" s="78" t="s">
        <v>70</v>
      </c>
      <c r="D28" s="78">
        <v>1</v>
      </c>
      <c r="E28" s="78">
        <v>1</v>
      </c>
      <c r="F28" s="78">
        <v>2</v>
      </c>
      <c r="G28" s="79"/>
      <c r="H28" s="79"/>
      <c r="I28" s="79"/>
      <c r="J28" s="79"/>
      <c r="K28" s="79"/>
      <c r="L28" s="80"/>
    </row>
    <row r="29" spans="2:12">
      <c r="B29" s="29" t="s">
        <v>55</v>
      </c>
      <c r="C29" s="4" t="s">
        <v>77</v>
      </c>
      <c r="D29" s="4">
        <v>4</v>
      </c>
      <c r="E29" s="4">
        <v>2</v>
      </c>
      <c r="F29" s="4">
        <v>1</v>
      </c>
      <c r="G29" s="4" t="s">
        <v>48</v>
      </c>
      <c r="H29" s="4" t="s">
        <v>49</v>
      </c>
      <c r="I29" s="4" t="s">
        <v>50</v>
      </c>
      <c r="J29" s="4" t="s">
        <v>51</v>
      </c>
      <c r="K29" s="6"/>
      <c r="L29" s="30"/>
    </row>
    <row r="30" spans="2:12">
      <c r="B30" s="24" t="s">
        <v>55</v>
      </c>
      <c r="C30" s="2" t="s">
        <v>78</v>
      </c>
      <c r="D30" s="2">
        <v>3</v>
      </c>
      <c r="E30" s="2">
        <v>2</v>
      </c>
      <c r="F30" s="2">
        <v>1</v>
      </c>
      <c r="G30" s="2" t="s">
        <v>48</v>
      </c>
      <c r="H30" s="2" t="s">
        <v>49</v>
      </c>
      <c r="I30" s="2" t="s">
        <v>51</v>
      </c>
      <c r="J30" s="2"/>
      <c r="K30" s="25"/>
      <c r="L30" s="26"/>
    </row>
    <row r="31" spans="2:12">
      <c r="B31" s="24" t="s">
        <v>55</v>
      </c>
      <c r="C31" s="2" t="s">
        <v>79</v>
      </c>
      <c r="D31" s="2">
        <v>3</v>
      </c>
      <c r="E31" s="2">
        <v>2</v>
      </c>
      <c r="F31" s="2">
        <v>1</v>
      </c>
      <c r="G31" s="2" t="s">
        <v>48</v>
      </c>
      <c r="H31" s="2" t="s">
        <v>49</v>
      </c>
      <c r="I31" s="2" t="s">
        <v>51</v>
      </c>
      <c r="J31" s="2"/>
      <c r="K31" s="25"/>
      <c r="L31" s="26"/>
    </row>
    <row r="32" spans="2:12">
      <c r="B32" s="151" t="s">
        <v>55</v>
      </c>
      <c r="C32" s="137" t="s">
        <v>80</v>
      </c>
      <c r="D32" s="2">
        <v>1</v>
      </c>
      <c r="E32" s="2">
        <v>2</v>
      </c>
      <c r="F32" s="2">
        <v>1</v>
      </c>
      <c r="G32" s="2" t="s">
        <v>48</v>
      </c>
      <c r="H32" s="25"/>
      <c r="I32" s="25"/>
      <c r="J32" s="25"/>
      <c r="K32" s="25"/>
      <c r="L32" s="26"/>
    </row>
    <row r="33" spans="2:12">
      <c r="B33" s="152"/>
      <c r="C33" s="149"/>
      <c r="D33" s="2">
        <v>1</v>
      </c>
      <c r="E33" s="2">
        <v>2</v>
      </c>
      <c r="F33" s="2">
        <v>1</v>
      </c>
      <c r="G33" s="2" t="s">
        <v>48</v>
      </c>
      <c r="H33" s="25"/>
      <c r="I33" s="25"/>
      <c r="J33" s="25"/>
      <c r="K33" s="25"/>
      <c r="L33" s="26"/>
    </row>
    <row r="34" spans="2:12">
      <c r="B34" s="152"/>
      <c r="C34" s="149"/>
      <c r="D34" s="2">
        <v>1</v>
      </c>
      <c r="E34" s="2">
        <v>2</v>
      </c>
      <c r="F34" s="2">
        <v>1</v>
      </c>
      <c r="G34" s="2" t="s">
        <v>48</v>
      </c>
      <c r="H34" s="25"/>
      <c r="I34" s="25"/>
      <c r="J34" s="25"/>
      <c r="K34" s="25"/>
      <c r="L34" s="26"/>
    </row>
    <row r="35" spans="2:12">
      <c r="B35" s="152"/>
      <c r="C35" s="149"/>
      <c r="D35" s="2">
        <v>1</v>
      </c>
      <c r="E35" s="2">
        <v>2</v>
      </c>
      <c r="F35" s="2">
        <v>1</v>
      </c>
      <c r="G35" s="2" t="s">
        <v>48</v>
      </c>
      <c r="H35" s="25"/>
      <c r="I35" s="25"/>
      <c r="J35" s="25"/>
      <c r="K35" s="25"/>
      <c r="L35" s="26"/>
    </row>
    <row r="36" spans="2:12">
      <c r="B36" s="152"/>
      <c r="C36" s="149"/>
      <c r="D36" s="2">
        <v>1</v>
      </c>
      <c r="E36" s="2">
        <v>2</v>
      </c>
      <c r="F36" s="2">
        <v>1</v>
      </c>
      <c r="G36" s="2" t="s">
        <v>48</v>
      </c>
      <c r="H36" s="25"/>
      <c r="I36" s="25"/>
      <c r="J36" s="25"/>
      <c r="K36" s="25"/>
      <c r="L36" s="26"/>
    </row>
    <row r="37" spans="2:12">
      <c r="B37" s="152"/>
      <c r="C37" s="149"/>
      <c r="D37" s="2">
        <v>1</v>
      </c>
      <c r="E37" s="2">
        <v>2</v>
      </c>
      <c r="F37" s="2">
        <v>1</v>
      </c>
      <c r="G37" s="2" t="s">
        <v>48</v>
      </c>
      <c r="H37" s="25"/>
      <c r="I37" s="25"/>
      <c r="J37" s="25"/>
      <c r="K37" s="25"/>
      <c r="L37" s="26"/>
    </row>
    <row r="38" spans="2:12">
      <c r="B38" s="152"/>
      <c r="C38" s="149"/>
      <c r="D38" s="2">
        <v>3</v>
      </c>
      <c r="E38" s="2">
        <v>1</v>
      </c>
      <c r="F38" s="2">
        <v>2</v>
      </c>
      <c r="G38" s="2" t="s">
        <v>48</v>
      </c>
      <c r="H38" s="2" t="s">
        <v>49</v>
      </c>
      <c r="I38" s="2" t="s">
        <v>51</v>
      </c>
      <c r="J38" s="2"/>
      <c r="K38" s="25"/>
      <c r="L38" s="26"/>
    </row>
    <row r="39" spans="2:12">
      <c r="B39" s="152"/>
      <c r="C39" s="149"/>
      <c r="D39" s="2">
        <v>3</v>
      </c>
      <c r="E39" s="2">
        <v>1</v>
      </c>
      <c r="F39" s="2">
        <v>2</v>
      </c>
      <c r="G39" s="2" t="s">
        <v>48</v>
      </c>
      <c r="H39" s="2" t="s">
        <v>49</v>
      </c>
      <c r="I39" s="2" t="s">
        <v>51</v>
      </c>
      <c r="J39" s="25"/>
      <c r="K39" s="25"/>
      <c r="L39" s="26"/>
    </row>
    <row r="40" spans="2:12">
      <c r="B40" s="153"/>
      <c r="C40" s="150"/>
      <c r="D40" s="2">
        <v>3</v>
      </c>
      <c r="E40" s="2">
        <v>1</v>
      </c>
      <c r="F40" s="2">
        <v>2</v>
      </c>
      <c r="G40" s="2" t="s">
        <v>48</v>
      </c>
      <c r="H40" s="2" t="s">
        <v>49</v>
      </c>
      <c r="I40" s="2" t="s">
        <v>51</v>
      </c>
      <c r="J40" s="2"/>
      <c r="K40" s="25"/>
      <c r="L40" s="26"/>
    </row>
    <row r="41" spans="2:12">
      <c r="B41" s="24" t="s">
        <v>55</v>
      </c>
      <c r="C41" s="2" t="s">
        <v>81</v>
      </c>
      <c r="D41" s="2">
        <v>4</v>
      </c>
      <c r="E41" s="2">
        <v>2</v>
      </c>
      <c r="F41" s="2">
        <v>1</v>
      </c>
      <c r="G41" s="2" t="s">
        <v>51</v>
      </c>
      <c r="H41" s="2" t="s">
        <v>51</v>
      </c>
      <c r="I41" s="2" t="s">
        <v>50</v>
      </c>
      <c r="J41" s="2" t="s">
        <v>49</v>
      </c>
      <c r="K41" s="25"/>
      <c r="L41" s="26"/>
    </row>
    <row r="42" spans="2:12">
      <c r="B42" s="24" t="s">
        <v>55</v>
      </c>
      <c r="C42" s="2" t="s">
        <v>59</v>
      </c>
      <c r="D42" s="2">
        <v>2</v>
      </c>
      <c r="E42" s="2">
        <v>2</v>
      </c>
      <c r="F42" s="2">
        <v>1</v>
      </c>
      <c r="G42" s="2" t="s">
        <v>48</v>
      </c>
      <c r="H42" s="2" t="s">
        <v>50</v>
      </c>
      <c r="I42" s="25"/>
      <c r="J42" s="25"/>
      <c r="K42" s="25"/>
      <c r="L42" s="26"/>
    </row>
    <row r="43" spans="2:12">
      <c r="B43" s="24" t="s">
        <v>55</v>
      </c>
      <c r="C43" s="2" t="s">
        <v>82</v>
      </c>
      <c r="D43" s="2">
        <v>4</v>
      </c>
      <c r="E43" s="2">
        <v>1</v>
      </c>
      <c r="F43" s="2">
        <v>2</v>
      </c>
      <c r="G43" s="2" t="s">
        <v>48</v>
      </c>
      <c r="H43" s="2" t="s">
        <v>49</v>
      </c>
      <c r="I43" s="2" t="s">
        <v>50</v>
      </c>
      <c r="J43" s="2" t="s">
        <v>51</v>
      </c>
      <c r="K43" s="25"/>
      <c r="L43" s="26"/>
    </row>
    <row r="44" spans="2:12">
      <c r="B44" s="151" t="s">
        <v>55</v>
      </c>
      <c r="C44" s="147" t="s">
        <v>83</v>
      </c>
      <c r="D44" s="2">
        <v>3</v>
      </c>
      <c r="E44" s="2">
        <v>1</v>
      </c>
      <c r="F44" s="2">
        <v>2</v>
      </c>
      <c r="G44" s="2" t="s">
        <v>48</v>
      </c>
      <c r="H44" s="2" t="s">
        <v>49</v>
      </c>
      <c r="I44" s="2" t="s">
        <v>51</v>
      </c>
      <c r="J44" s="25"/>
      <c r="K44" s="25"/>
      <c r="L44" s="26"/>
    </row>
    <row r="45" spans="2:12" ht="15" thickBot="1">
      <c r="B45" s="154"/>
      <c r="C45" s="148"/>
      <c r="D45" s="3">
        <v>3</v>
      </c>
      <c r="E45" s="3">
        <v>1</v>
      </c>
      <c r="F45" s="3">
        <v>2</v>
      </c>
      <c r="G45" s="3" t="s">
        <v>48</v>
      </c>
      <c r="H45" s="3" t="s">
        <v>49</v>
      </c>
      <c r="I45" s="3" t="s">
        <v>51</v>
      </c>
      <c r="J45" s="5"/>
      <c r="K45" s="5"/>
      <c r="L45" s="31"/>
    </row>
    <row r="46" spans="2:12">
      <c r="B46" s="9" t="s">
        <v>56</v>
      </c>
      <c r="C46" s="10" t="s">
        <v>61</v>
      </c>
      <c r="D46" s="10">
        <v>3</v>
      </c>
      <c r="E46" s="10">
        <v>3</v>
      </c>
      <c r="F46" s="10">
        <v>1</v>
      </c>
      <c r="G46" s="10" t="s">
        <v>48</v>
      </c>
      <c r="H46" s="10" t="s">
        <v>49</v>
      </c>
      <c r="I46" s="10" t="s">
        <v>51</v>
      </c>
      <c r="J46" s="10"/>
      <c r="K46" s="10"/>
      <c r="L46" s="11"/>
    </row>
    <row r="47" spans="2:12">
      <c r="B47" s="157" t="s">
        <v>56</v>
      </c>
      <c r="C47" s="141" t="s">
        <v>84</v>
      </c>
      <c r="D47" s="7">
        <v>3</v>
      </c>
      <c r="E47" s="7">
        <v>3</v>
      </c>
      <c r="F47" s="7">
        <v>1</v>
      </c>
      <c r="G47" s="7" t="s">
        <v>48</v>
      </c>
      <c r="H47" s="7" t="s">
        <v>49</v>
      </c>
      <c r="I47" s="7" t="s">
        <v>51</v>
      </c>
      <c r="J47" s="7"/>
      <c r="K47" s="7"/>
      <c r="L47" s="13"/>
    </row>
    <row r="48" spans="2:12">
      <c r="B48" s="164"/>
      <c r="C48" s="163"/>
      <c r="D48" s="7">
        <v>3</v>
      </c>
      <c r="E48" s="7">
        <v>3</v>
      </c>
      <c r="F48" s="7">
        <v>1</v>
      </c>
      <c r="G48" s="7" t="s">
        <v>48</v>
      </c>
      <c r="H48" s="7" t="s">
        <v>49</v>
      </c>
      <c r="I48" s="7" t="s">
        <v>51</v>
      </c>
      <c r="J48" s="7"/>
      <c r="K48" s="7"/>
      <c r="L48" s="13"/>
    </row>
    <row r="49" spans="2:12">
      <c r="B49" s="158"/>
      <c r="C49" s="142"/>
      <c r="D49" s="7">
        <v>3</v>
      </c>
      <c r="E49" s="7">
        <v>1</v>
      </c>
      <c r="F49" s="7">
        <v>1</v>
      </c>
      <c r="G49" s="7" t="s">
        <v>48</v>
      </c>
      <c r="H49" s="7" t="s">
        <v>49</v>
      </c>
      <c r="I49" s="7" t="s">
        <v>51</v>
      </c>
      <c r="J49" s="7"/>
      <c r="K49" s="7"/>
      <c r="L49" s="13"/>
    </row>
    <row r="50" spans="2:12" ht="15" thickBot="1">
      <c r="B50" s="14" t="s">
        <v>56</v>
      </c>
      <c r="C50" s="8" t="s">
        <v>83</v>
      </c>
      <c r="D50" s="8">
        <v>4</v>
      </c>
      <c r="E50" s="8">
        <v>1</v>
      </c>
      <c r="F50" s="8">
        <v>1</v>
      </c>
      <c r="G50" s="8" t="s">
        <v>48</v>
      </c>
      <c r="H50" s="8" t="s">
        <v>48</v>
      </c>
      <c r="I50" s="8" t="s">
        <v>51</v>
      </c>
      <c r="J50" s="8" t="s">
        <v>49</v>
      </c>
      <c r="K50" s="8"/>
      <c r="L50" s="32"/>
    </row>
    <row r="51" spans="2:12">
      <c r="B51" s="18" t="s">
        <v>57</v>
      </c>
      <c r="C51" s="19" t="s">
        <v>61</v>
      </c>
      <c r="D51" s="19">
        <v>3</v>
      </c>
      <c r="E51" s="19">
        <v>3</v>
      </c>
      <c r="F51" s="19">
        <v>1</v>
      </c>
      <c r="G51" s="23" t="s">
        <v>48</v>
      </c>
      <c r="H51" s="23" t="s">
        <v>49</v>
      </c>
      <c r="I51" s="23" t="s">
        <v>51</v>
      </c>
      <c r="J51" s="19"/>
      <c r="K51" s="19"/>
      <c r="L51" s="21"/>
    </row>
    <row r="52" spans="2:12">
      <c r="B52" s="24" t="s">
        <v>57</v>
      </c>
      <c r="C52" s="2" t="s">
        <v>85</v>
      </c>
      <c r="D52" s="2">
        <v>3</v>
      </c>
      <c r="E52" s="2">
        <v>2</v>
      </c>
      <c r="F52" s="2">
        <v>1</v>
      </c>
      <c r="G52" s="2" t="s">
        <v>48</v>
      </c>
      <c r="H52" s="2" t="s">
        <v>49</v>
      </c>
      <c r="I52" s="2" t="s">
        <v>51</v>
      </c>
      <c r="J52" s="2"/>
      <c r="K52" s="2"/>
      <c r="L52" s="22"/>
    </row>
    <row r="53" spans="2:12">
      <c r="B53" s="151" t="s">
        <v>57</v>
      </c>
      <c r="C53" s="137" t="s">
        <v>86</v>
      </c>
      <c r="D53" s="2">
        <v>1</v>
      </c>
      <c r="E53" s="2">
        <v>2</v>
      </c>
      <c r="F53" s="2">
        <v>1</v>
      </c>
      <c r="G53" s="2" t="s">
        <v>48</v>
      </c>
      <c r="H53" s="2"/>
      <c r="I53" s="2"/>
      <c r="J53" s="2"/>
      <c r="K53" s="2"/>
      <c r="L53" s="22"/>
    </row>
    <row r="54" spans="2:12">
      <c r="B54" s="152"/>
      <c r="C54" s="149"/>
      <c r="D54" s="2">
        <v>1</v>
      </c>
      <c r="E54" s="2">
        <v>2</v>
      </c>
      <c r="F54" s="2">
        <v>1</v>
      </c>
      <c r="G54" s="2" t="s">
        <v>48</v>
      </c>
      <c r="H54" s="2"/>
      <c r="I54" s="2"/>
      <c r="J54" s="2"/>
      <c r="K54" s="2"/>
      <c r="L54" s="22"/>
    </row>
    <row r="55" spans="2:12">
      <c r="B55" s="152"/>
      <c r="C55" s="149"/>
      <c r="D55" s="2">
        <v>1</v>
      </c>
      <c r="E55" s="2">
        <v>2</v>
      </c>
      <c r="F55" s="2">
        <v>1</v>
      </c>
      <c r="G55" s="2" t="s">
        <v>48</v>
      </c>
      <c r="H55" s="2"/>
      <c r="I55" s="2"/>
      <c r="J55" s="2"/>
      <c r="K55" s="2"/>
      <c r="L55" s="22"/>
    </row>
    <row r="56" spans="2:12">
      <c r="B56" s="152"/>
      <c r="C56" s="149"/>
      <c r="D56" s="2">
        <v>1</v>
      </c>
      <c r="E56" s="2">
        <v>2</v>
      </c>
      <c r="F56" s="2">
        <v>1</v>
      </c>
      <c r="G56" s="2" t="s">
        <v>48</v>
      </c>
      <c r="H56" s="2"/>
      <c r="I56" s="2"/>
      <c r="J56" s="2"/>
      <c r="K56" s="2"/>
      <c r="L56" s="22"/>
    </row>
    <row r="57" spans="2:12">
      <c r="B57" s="152"/>
      <c r="C57" s="149"/>
      <c r="D57" s="2">
        <v>1</v>
      </c>
      <c r="E57" s="2">
        <v>2</v>
      </c>
      <c r="F57" s="2">
        <v>1</v>
      </c>
      <c r="G57" s="2" t="s">
        <v>48</v>
      </c>
      <c r="H57" s="2"/>
      <c r="I57" s="2"/>
      <c r="J57" s="2"/>
      <c r="K57" s="2"/>
      <c r="L57" s="22"/>
    </row>
    <row r="58" spans="2:12">
      <c r="B58" s="152"/>
      <c r="C58" s="149"/>
      <c r="D58" s="2">
        <v>1</v>
      </c>
      <c r="E58" s="2">
        <v>2</v>
      </c>
      <c r="F58" s="2">
        <v>1</v>
      </c>
      <c r="G58" s="2" t="s">
        <v>48</v>
      </c>
      <c r="H58" s="2"/>
      <c r="I58" s="2"/>
      <c r="J58" s="2"/>
      <c r="K58" s="2"/>
      <c r="L58" s="22"/>
    </row>
    <row r="59" spans="2:12">
      <c r="B59" s="152"/>
      <c r="C59" s="149"/>
      <c r="D59" s="2">
        <v>1</v>
      </c>
      <c r="E59" s="2">
        <v>2</v>
      </c>
      <c r="F59" s="2">
        <v>1</v>
      </c>
      <c r="G59" s="2" t="s">
        <v>48</v>
      </c>
      <c r="H59" s="2"/>
      <c r="I59" s="2"/>
      <c r="J59" s="2"/>
      <c r="K59" s="2"/>
      <c r="L59" s="22"/>
    </row>
    <row r="60" spans="2:12">
      <c r="B60" s="153"/>
      <c r="C60" s="150"/>
      <c r="D60" s="2">
        <v>1</v>
      </c>
      <c r="E60" s="2">
        <v>2</v>
      </c>
      <c r="F60" s="2">
        <v>1</v>
      </c>
      <c r="G60" s="2" t="s">
        <v>48</v>
      </c>
      <c r="H60" s="2"/>
      <c r="I60" s="2"/>
      <c r="J60" s="2"/>
      <c r="K60" s="2"/>
      <c r="L60" s="22"/>
    </row>
    <row r="61" spans="2:12" ht="15" thickBot="1">
      <c r="B61" s="20" t="s">
        <v>57</v>
      </c>
      <c r="C61" s="3" t="s">
        <v>87</v>
      </c>
      <c r="D61" s="3">
        <v>4</v>
      </c>
      <c r="E61" s="3">
        <v>2</v>
      </c>
      <c r="F61" s="3">
        <v>1</v>
      </c>
      <c r="G61" s="3" t="s">
        <v>51</v>
      </c>
      <c r="H61" s="3" t="s">
        <v>51</v>
      </c>
      <c r="I61" s="3" t="s">
        <v>49</v>
      </c>
      <c r="J61" s="3" t="s">
        <v>50</v>
      </c>
      <c r="K61" s="3"/>
      <c r="L61" s="33"/>
    </row>
    <row r="62" spans="2:12">
      <c r="B62" s="9" t="s">
        <v>58</v>
      </c>
      <c r="C62" s="10" t="s">
        <v>61</v>
      </c>
      <c r="D62" s="10">
        <v>4</v>
      </c>
      <c r="E62" s="10">
        <v>2</v>
      </c>
      <c r="F62" s="10">
        <v>1</v>
      </c>
      <c r="G62" s="10" t="s">
        <v>48</v>
      </c>
      <c r="H62" s="10" t="s">
        <v>49</v>
      </c>
      <c r="I62" s="10" t="s">
        <v>50</v>
      </c>
      <c r="J62" s="10" t="s">
        <v>51</v>
      </c>
      <c r="K62" s="10"/>
      <c r="L62" s="11"/>
    </row>
    <row r="63" spans="2:12">
      <c r="B63" s="12" t="s">
        <v>58</v>
      </c>
      <c r="C63" s="7" t="s">
        <v>85</v>
      </c>
      <c r="D63" s="7">
        <v>3</v>
      </c>
      <c r="E63" s="7">
        <v>2</v>
      </c>
      <c r="F63" s="7">
        <v>1</v>
      </c>
      <c r="G63" s="7" t="s">
        <v>48</v>
      </c>
      <c r="H63" s="7" t="s">
        <v>49</v>
      </c>
      <c r="I63" s="7" t="s">
        <v>51</v>
      </c>
      <c r="J63" s="7"/>
      <c r="K63" s="7"/>
      <c r="L63" s="13"/>
    </row>
    <row r="64" spans="2:12">
      <c r="B64" s="12" t="s">
        <v>58</v>
      </c>
      <c r="C64" s="7" t="s">
        <v>88</v>
      </c>
      <c r="D64" s="7">
        <v>140</v>
      </c>
      <c r="E64" s="7">
        <v>1</v>
      </c>
      <c r="F64" s="7">
        <v>2</v>
      </c>
      <c r="G64" s="159" t="s">
        <v>89</v>
      </c>
      <c r="H64" s="160"/>
      <c r="I64" s="162"/>
      <c r="J64" s="159" t="s">
        <v>90</v>
      </c>
      <c r="K64" s="160"/>
      <c r="L64" s="161"/>
    </row>
    <row r="65" spans="2:12" ht="15" customHeight="1">
      <c r="B65" s="12" t="s">
        <v>58</v>
      </c>
      <c r="C65" s="7" t="s">
        <v>91</v>
      </c>
      <c r="D65" s="7">
        <v>26</v>
      </c>
      <c r="E65" s="7">
        <v>1</v>
      </c>
      <c r="F65" s="7">
        <v>2</v>
      </c>
      <c r="G65" s="7" t="s">
        <v>68</v>
      </c>
      <c r="H65" s="7"/>
      <c r="I65" s="7"/>
      <c r="J65" s="7"/>
      <c r="K65" s="7"/>
      <c r="L65" s="13"/>
    </row>
    <row r="66" spans="2:12" ht="15" customHeight="1">
      <c r="B66" s="157" t="s">
        <v>58</v>
      </c>
      <c r="C66" s="165" t="s">
        <v>92</v>
      </c>
      <c r="D66" s="7">
        <v>2</v>
      </c>
      <c r="E66" s="7">
        <v>1</v>
      </c>
      <c r="F66" s="7">
        <v>2</v>
      </c>
      <c r="G66" s="7" t="s">
        <v>49</v>
      </c>
      <c r="H66" s="7" t="s">
        <v>48</v>
      </c>
      <c r="I66" s="7"/>
      <c r="J66" s="7"/>
      <c r="K66" s="7"/>
      <c r="L66" s="13"/>
    </row>
    <row r="67" spans="2:12">
      <c r="B67" s="164"/>
      <c r="C67" s="166"/>
      <c r="D67" s="7">
        <v>2</v>
      </c>
      <c r="E67" s="7">
        <v>1</v>
      </c>
      <c r="F67" s="7">
        <v>2</v>
      </c>
      <c r="G67" s="7" t="s">
        <v>49</v>
      </c>
      <c r="H67" s="7" t="s">
        <v>48</v>
      </c>
      <c r="I67" s="7"/>
      <c r="J67" s="7"/>
      <c r="K67" s="7"/>
      <c r="L67" s="13"/>
    </row>
    <row r="68" spans="2:12">
      <c r="B68" s="158"/>
      <c r="C68" s="167"/>
      <c r="D68" s="7">
        <v>2</v>
      </c>
      <c r="E68" s="7">
        <v>1</v>
      </c>
      <c r="F68" s="7">
        <v>2</v>
      </c>
      <c r="G68" s="7" t="s">
        <v>49</v>
      </c>
      <c r="H68" s="7" t="s">
        <v>48</v>
      </c>
      <c r="I68" s="7"/>
      <c r="J68" s="7"/>
      <c r="K68" s="7"/>
      <c r="L68" s="13"/>
    </row>
    <row r="69" spans="2:12">
      <c r="B69" s="12" t="s">
        <v>58</v>
      </c>
      <c r="C69" s="7" t="s">
        <v>93</v>
      </c>
      <c r="D69" s="7">
        <v>3</v>
      </c>
      <c r="E69" s="7">
        <v>1</v>
      </c>
      <c r="F69" s="7">
        <v>2</v>
      </c>
      <c r="G69" s="7" t="s">
        <v>48</v>
      </c>
      <c r="H69" s="7" t="s">
        <v>48</v>
      </c>
      <c r="I69" s="7" t="s">
        <v>49</v>
      </c>
      <c r="J69" s="7"/>
      <c r="K69" s="7"/>
      <c r="L69" s="13"/>
    </row>
    <row r="70" spans="2:12">
      <c r="B70" s="12" t="s">
        <v>58</v>
      </c>
      <c r="C70" s="7" t="s">
        <v>94</v>
      </c>
      <c r="D70" s="7">
        <v>6</v>
      </c>
      <c r="E70" s="7">
        <v>1</v>
      </c>
      <c r="F70" s="7">
        <v>2</v>
      </c>
      <c r="G70" s="7" t="s">
        <v>48</v>
      </c>
      <c r="H70" s="7" t="s">
        <v>48</v>
      </c>
      <c r="I70" s="7" t="s">
        <v>95</v>
      </c>
      <c r="J70" s="7" t="s">
        <v>95</v>
      </c>
      <c r="K70" s="7" t="s">
        <v>96</v>
      </c>
      <c r="L70" s="13" t="s">
        <v>49</v>
      </c>
    </row>
    <row r="71" spans="2:12">
      <c r="B71" s="12" t="s">
        <v>58</v>
      </c>
      <c r="C71" s="7" t="s">
        <v>97</v>
      </c>
      <c r="D71" s="7">
        <v>4</v>
      </c>
      <c r="E71" s="7">
        <v>1</v>
      </c>
      <c r="F71" s="7">
        <v>2</v>
      </c>
      <c r="G71" s="7" t="s">
        <v>48</v>
      </c>
      <c r="H71" s="7" t="s">
        <v>49</v>
      </c>
      <c r="I71" s="7" t="s">
        <v>50</v>
      </c>
      <c r="J71" s="7" t="s">
        <v>51</v>
      </c>
      <c r="K71" s="7"/>
      <c r="L71" s="13"/>
    </row>
    <row r="72" spans="2:12">
      <c r="B72" s="157" t="s">
        <v>58</v>
      </c>
      <c r="C72" s="141" t="s">
        <v>73</v>
      </c>
      <c r="D72" s="7">
        <v>2</v>
      </c>
      <c r="E72" s="7">
        <v>1</v>
      </c>
      <c r="F72" s="7">
        <v>2</v>
      </c>
      <c r="G72" s="7" t="s">
        <v>48</v>
      </c>
      <c r="H72" s="7" t="s">
        <v>51</v>
      </c>
      <c r="I72" s="7"/>
      <c r="J72" s="7"/>
      <c r="K72" s="7"/>
      <c r="L72" s="13"/>
    </row>
    <row r="73" spans="2:12">
      <c r="B73" s="158"/>
      <c r="C73" s="142"/>
      <c r="D73" s="7">
        <v>2</v>
      </c>
      <c r="E73" s="7">
        <v>1</v>
      </c>
      <c r="F73" s="7">
        <v>2</v>
      </c>
      <c r="G73" s="7" t="s">
        <v>48</v>
      </c>
      <c r="H73" s="7" t="s">
        <v>51</v>
      </c>
      <c r="I73" s="7"/>
      <c r="J73" s="7"/>
      <c r="K73" s="7"/>
      <c r="L73" s="13"/>
    </row>
    <row r="74" spans="2:12">
      <c r="B74" s="12" t="s">
        <v>58</v>
      </c>
      <c r="C74" s="7" t="s">
        <v>98</v>
      </c>
      <c r="D74" s="7">
        <v>2</v>
      </c>
      <c r="E74" s="7">
        <v>1</v>
      </c>
      <c r="F74" s="7">
        <v>2</v>
      </c>
      <c r="G74" s="7"/>
      <c r="H74" s="7"/>
      <c r="I74" s="7"/>
      <c r="J74" s="7"/>
      <c r="K74" s="7"/>
      <c r="L74" s="13"/>
    </row>
    <row r="75" spans="2:12" ht="15" thickBot="1">
      <c r="B75" s="15" t="s">
        <v>58</v>
      </c>
      <c r="C75" s="16" t="s">
        <v>99</v>
      </c>
      <c r="D75" s="16">
        <v>2</v>
      </c>
      <c r="E75" s="16">
        <v>1</v>
      </c>
      <c r="F75" s="16">
        <v>2</v>
      </c>
      <c r="G75" s="16" t="s">
        <v>50</v>
      </c>
      <c r="H75" s="16" t="s">
        <v>50</v>
      </c>
      <c r="I75" s="16"/>
      <c r="J75" s="16"/>
      <c r="K75" s="16"/>
      <c r="L75" s="17"/>
    </row>
  </sheetData>
  <mergeCells count="21">
    <mergeCell ref="C72:C73"/>
    <mergeCell ref="B72:B73"/>
    <mergeCell ref="J64:L64"/>
    <mergeCell ref="G64:I64"/>
    <mergeCell ref="C47:C49"/>
    <mergeCell ref="B47:B49"/>
    <mergeCell ref="C53:C60"/>
    <mergeCell ref="B53:B60"/>
    <mergeCell ref="C66:C68"/>
    <mergeCell ref="B66:B68"/>
    <mergeCell ref="C44:C45"/>
    <mergeCell ref="C32:C40"/>
    <mergeCell ref="B32:B40"/>
    <mergeCell ref="B44:B45"/>
    <mergeCell ref="B25:B26"/>
    <mergeCell ref="C5:C10"/>
    <mergeCell ref="C12:C14"/>
    <mergeCell ref="G2:L2"/>
    <mergeCell ref="C25:C26"/>
    <mergeCell ref="B12:B14"/>
    <mergeCell ref="B5:B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9E6F1-E621-4144-B9C5-52AEA1925F4B}">
  <dimension ref="B1:I24"/>
  <sheetViews>
    <sheetView zoomScale="115" zoomScaleNormal="115" workbookViewId="0">
      <selection activeCell="J13" sqref="J13"/>
    </sheetView>
  </sheetViews>
  <sheetFormatPr defaultRowHeight="15" customHeight="1"/>
  <cols>
    <col min="1" max="1" width="3" customWidth="1"/>
    <col min="2" max="2" width="19.140625" bestFit="1" customWidth="1"/>
    <col min="3" max="3" width="11.85546875" bestFit="1" customWidth="1"/>
    <col min="4" max="4" width="14.42578125" customWidth="1"/>
    <col min="5" max="5" width="13.28515625" customWidth="1"/>
    <col min="6" max="6" width="16.28515625" customWidth="1"/>
    <col min="7" max="7" width="14" customWidth="1"/>
    <col min="8" max="8" width="14.42578125" customWidth="1"/>
    <col min="9" max="9" width="11.5703125" customWidth="1"/>
  </cols>
  <sheetData>
    <row r="1" spans="2:9" ht="15" customHeight="1" thickBot="1"/>
    <row r="2" spans="2:9" ht="15" customHeight="1" thickBot="1">
      <c r="B2" s="85" t="s">
        <v>44</v>
      </c>
      <c r="C2" s="86" t="s">
        <v>45</v>
      </c>
      <c r="D2" s="86" t="s">
        <v>100</v>
      </c>
      <c r="E2" s="87" t="s">
        <v>101</v>
      </c>
      <c r="G2">
        <v>2</v>
      </c>
      <c r="H2">
        <f>2^2</f>
        <v>4</v>
      </c>
    </row>
    <row r="3" spans="2:9">
      <c r="B3" s="36" t="s">
        <v>46</v>
      </c>
      <c r="C3" s="60">
        <v>40</v>
      </c>
      <c r="D3" s="37">
        <v>0.4</v>
      </c>
      <c r="E3" s="57">
        <f t="shared" ref="E3:E8" si="0">ROUNDUP(C3+D3*C3,0)</f>
        <v>56</v>
      </c>
      <c r="G3">
        <v>3</v>
      </c>
      <c r="H3">
        <f>2^3</f>
        <v>8</v>
      </c>
    </row>
    <row r="4" spans="2:9">
      <c r="B4" s="34" t="s">
        <v>53</v>
      </c>
      <c r="C4" s="58">
        <v>47</v>
      </c>
      <c r="D4" s="1">
        <v>0.4</v>
      </c>
      <c r="E4" s="39">
        <f t="shared" si="0"/>
        <v>66</v>
      </c>
      <c r="G4">
        <v>4</v>
      </c>
      <c r="H4">
        <f>2^4</f>
        <v>16</v>
      </c>
    </row>
    <row r="5" spans="2:9">
      <c r="B5" s="34" t="s">
        <v>55</v>
      </c>
      <c r="C5" s="58">
        <v>41</v>
      </c>
      <c r="D5" s="1">
        <v>0.4</v>
      </c>
      <c r="E5" s="39">
        <f t="shared" si="0"/>
        <v>58</v>
      </c>
      <c r="G5">
        <v>5</v>
      </c>
      <c r="H5">
        <v>32</v>
      </c>
    </row>
    <row r="6" spans="2:9">
      <c r="B6" s="34" t="s">
        <v>56</v>
      </c>
      <c r="C6" s="58">
        <v>16</v>
      </c>
      <c r="D6" s="1">
        <v>0.2</v>
      </c>
      <c r="E6" s="39">
        <f t="shared" si="0"/>
        <v>20</v>
      </c>
      <c r="G6">
        <v>6</v>
      </c>
      <c r="H6">
        <v>64</v>
      </c>
    </row>
    <row r="7" spans="2:9">
      <c r="B7" s="34" t="s">
        <v>57</v>
      </c>
      <c r="C7" s="58">
        <v>18</v>
      </c>
      <c r="D7" s="1">
        <v>0.2</v>
      </c>
      <c r="E7" s="39">
        <f t="shared" si="0"/>
        <v>22</v>
      </c>
      <c r="G7">
        <v>7</v>
      </c>
      <c r="H7">
        <v>128</v>
      </c>
    </row>
    <row r="8" spans="2:9" ht="15" customHeight="1" thickBot="1">
      <c r="B8" s="35" t="s">
        <v>58</v>
      </c>
      <c r="C8" s="61">
        <v>200</v>
      </c>
      <c r="D8" s="38">
        <v>0.3</v>
      </c>
      <c r="E8" s="40">
        <f t="shared" si="0"/>
        <v>260</v>
      </c>
      <c r="G8">
        <v>8</v>
      </c>
      <c r="H8">
        <v>256</v>
      </c>
    </row>
    <row r="9" spans="2:9">
      <c r="G9">
        <v>9</v>
      </c>
      <c r="H9">
        <v>512</v>
      </c>
    </row>
    <row r="10" spans="2:9">
      <c r="B10" s="59" t="s">
        <v>102</v>
      </c>
      <c r="C10" s="59" t="s">
        <v>103</v>
      </c>
    </row>
    <row r="11" spans="2:9">
      <c r="B11" t="s">
        <v>104</v>
      </c>
      <c r="C11" s="58">
        <v>260</v>
      </c>
    </row>
    <row r="12" spans="2:9">
      <c r="B12" t="s">
        <v>105</v>
      </c>
      <c r="C12" s="58">
        <v>8</v>
      </c>
    </row>
    <row r="13" spans="2:9">
      <c r="B13" t="s">
        <v>106</v>
      </c>
      <c r="C13" s="1" t="s">
        <v>107</v>
      </c>
    </row>
    <row r="15" spans="2:9"/>
    <row r="16" spans="2:9">
      <c r="B16" s="107" t="s">
        <v>44</v>
      </c>
      <c r="C16" s="108" t="s">
        <v>108</v>
      </c>
      <c r="D16" s="108" t="s">
        <v>109</v>
      </c>
      <c r="E16" s="108" t="s">
        <v>110</v>
      </c>
      <c r="F16" s="108" t="s">
        <v>111</v>
      </c>
      <c r="G16" s="108" t="s">
        <v>112</v>
      </c>
      <c r="H16" s="108" t="s">
        <v>113</v>
      </c>
      <c r="I16" s="109" t="s">
        <v>114</v>
      </c>
    </row>
    <row r="17" spans="2:9">
      <c r="B17" s="112" t="s">
        <v>46</v>
      </c>
      <c r="C17" s="113">
        <v>56</v>
      </c>
      <c r="D17" s="113" t="s">
        <v>115</v>
      </c>
      <c r="E17" s="113" t="s">
        <v>116</v>
      </c>
      <c r="F17" s="113" t="s">
        <v>117</v>
      </c>
      <c r="G17" s="113" t="s">
        <v>118</v>
      </c>
      <c r="H17" s="113" t="s">
        <v>119</v>
      </c>
      <c r="I17" s="114">
        <f>$H$9-2-C17</f>
        <v>454</v>
      </c>
    </row>
    <row r="18" spans="2:9">
      <c r="B18" s="115" t="s">
        <v>53</v>
      </c>
      <c r="C18" s="88">
        <v>66</v>
      </c>
      <c r="D18" s="88" t="s">
        <v>120</v>
      </c>
      <c r="E18" s="88" t="s">
        <v>116</v>
      </c>
      <c r="F18" s="88" t="s">
        <v>121</v>
      </c>
      <c r="G18" s="88" t="s">
        <v>122</v>
      </c>
      <c r="H18" s="88" t="s">
        <v>123</v>
      </c>
      <c r="I18" s="90">
        <f t="shared" ref="I18:I22" si="1">$H$9-2-C18</f>
        <v>444</v>
      </c>
    </row>
    <row r="19" spans="2:9">
      <c r="B19" s="115" t="s">
        <v>55</v>
      </c>
      <c r="C19" s="88">
        <v>58</v>
      </c>
      <c r="D19" s="88" t="s">
        <v>124</v>
      </c>
      <c r="E19" s="88" t="s">
        <v>116</v>
      </c>
      <c r="F19" s="88" t="s">
        <v>125</v>
      </c>
      <c r="G19" s="88" t="s">
        <v>126</v>
      </c>
      <c r="H19" s="88" t="s">
        <v>127</v>
      </c>
      <c r="I19" s="90">
        <f t="shared" si="1"/>
        <v>452</v>
      </c>
    </row>
    <row r="20" spans="2:9">
      <c r="B20" s="115" t="s">
        <v>56</v>
      </c>
      <c r="C20" s="88">
        <v>20</v>
      </c>
      <c r="D20" s="88" t="s">
        <v>128</v>
      </c>
      <c r="E20" s="88" t="s">
        <v>116</v>
      </c>
      <c r="F20" s="88" t="s">
        <v>129</v>
      </c>
      <c r="G20" s="88" t="s">
        <v>130</v>
      </c>
      <c r="H20" s="88" t="s">
        <v>131</v>
      </c>
      <c r="I20" s="90">
        <f t="shared" si="1"/>
        <v>490</v>
      </c>
    </row>
    <row r="21" spans="2:9">
      <c r="B21" s="115" t="s">
        <v>57</v>
      </c>
      <c r="C21" s="88">
        <v>22</v>
      </c>
      <c r="D21" s="88" t="s">
        <v>132</v>
      </c>
      <c r="E21" s="88" t="s">
        <v>116</v>
      </c>
      <c r="F21" s="88" t="s">
        <v>133</v>
      </c>
      <c r="G21" s="88" t="s">
        <v>134</v>
      </c>
      <c r="H21" s="88" t="s">
        <v>135</v>
      </c>
      <c r="I21" s="90">
        <f t="shared" si="1"/>
        <v>488</v>
      </c>
    </row>
    <row r="22" spans="2:9">
      <c r="B22" s="116" t="s">
        <v>58</v>
      </c>
      <c r="C22" s="117">
        <v>260</v>
      </c>
      <c r="D22" s="117" t="s">
        <v>136</v>
      </c>
      <c r="E22" s="117" t="s">
        <v>116</v>
      </c>
      <c r="F22" s="117" t="s">
        <v>137</v>
      </c>
      <c r="G22" s="117" t="s">
        <v>138</v>
      </c>
      <c r="H22" s="117" t="s">
        <v>139</v>
      </c>
      <c r="I22" s="118">
        <f t="shared" si="1"/>
        <v>250</v>
      </c>
    </row>
    <row r="23" spans="2:9">
      <c r="B23" s="119"/>
      <c r="C23" s="119"/>
      <c r="D23" s="119"/>
      <c r="E23" s="119"/>
      <c r="F23" s="119"/>
      <c r="G23" s="119"/>
      <c r="H23" s="110" t="s">
        <v>140</v>
      </c>
      <c r="I23" s="111">
        <f>SUM(I17:I22)</f>
        <v>2578</v>
      </c>
    </row>
    <row r="24" spans="2:9">
      <c r="E24" s="1" t="s">
        <v>141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7FBD1-C29B-4221-BE3C-C9D5E56D74FD}">
  <dimension ref="B1:I34"/>
  <sheetViews>
    <sheetView zoomScale="115" zoomScaleNormal="115" workbookViewId="0">
      <selection activeCell="E2" sqref="B2:E2"/>
    </sheetView>
  </sheetViews>
  <sheetFormatPr defaultRowHeight="15" customHeight="1"/>
  <cols>
    <col min="1" max="1" width="3" customWidth="1"/>
    <col min="2" max="2" width="19.28515625" bestFit="1" customWidth="1"/>
    <col min="3" max="3" width="13.28515625" customWidth="1"/>
    <col min="4" max="4" width="15.28515625" customWidth="1"/>
    <col min="5" max="5" width="13.85546875" bestFit="1" customWidth="1"/>
    <col min="6" max="6" width="16.28515625" customWidth="1"/>
    <col min="7" max="7" width="14.85546875" customWidth="1"/>
    <col min="8" max="8" width="14.7109375" customWidth="1"/>
    <col min="9" max="9" width="11.85546875" customWidth="1"/>
  </cols>
  <sheetData>
    <row r="1" spans="2:9" thickBot="1"/>
    <row r="2" spans="2:9" thickBot="1">
      <c r="B2" s="85" t="s">
        <v>44</v>
      </c>
      <c r="C2" s="86" t="s">
        <v>45</v>
      </c>
      <c r="D2" s="86" t="s">
        <v>100</v>
      </c>
      <c r="E2" s="87" t="s">
        <v>101</v>
      </c>
      <c r="H2">
        <v>2</v>
      </c>
      <c r="I2">
        <f>2^2</f>
        <v>4</v>
      </c>
    </row>
    <row r="3" spans="2:9" ht="14.45">
      <c r="B3" s="34" t="s">
        <v>46</v>
      </c>
      <c r="C3" s="58">
        <v>40</v>
      </c>
      <c r="D3" s="1">
        <v>0.4</v>
      </c>
      <c r="E3" s="39">
        <f>ROUNDUP(C3+D3*C3,0)</f>
        <v>56</v>
      </c>
      <c r="H3">
        <v>3</v>
      </c>
      <c r="I3">
        <f>2^3</f>
        <v>8</v>
      </c>
    </row>
    <row r="4" spans="2:9" ht="14.45">
      <c r="B4" s="34" t="s">
        <v>53</v>
      </c>
      <c r="C4" s="58">
        <v>47</v>
      </c>
      <c r="D4" s="1">
        <v>0.4</v>
      </c>
      <c r="E4" s="39">
        <f>ROUNDUP(C4+D4*C4,0)</f>
        <v>66</v>
      </c>
      <c r="H4">
        <v>4</v>
      </c>
      <c r="I4">
        <f>2^4</f>
        <v>16</v>
      </c>
    </row>
    <row r="5" spans="2:9" ht="14.45">
      <c r="B5" s="34" t="s">
        <v>55</v>
      </c>
      <c r="C5" s="58">
        <v>41</v>
      </c>
      <c r="D5" s="1">
        <v>0.4</v>
      </c>
      <c r="E5" s="39">
        <f t="shared" ref="E5:E8" si="0">ROUNDUP(C5+D5*C5,0)</f>
        <v>58</v>
      </c>
      <c r="H5">
        <v>5</v>
      </c>
      <c r="I5">
        <v>32</v>
      </c>
    </row>
    <row r="6" spans="2:9" ht="14.45">
      <c r="B6" s="34" t="s">
        <v>56</v>
      </c>
      <c r="C6" s="58">
        <v>16</v>
      </c>
      <c r="D6" s="1">
        <v>0.2</v>
      </c>
      <c r="E6" s="39">
        <f t="shared" si="0"/>
        <v>20</v>
      </c>
      <c r="H6">
        <v>6</v>
      </c>
      <c r="I6">
        <v>64</v>
      </c>
    </row>
    <row r="7" spans="2:9" ht="14.45">
      <c r="B7" s="34" t="s">
        <v>57</v>
      </c>
      <c r="C7" s="58">
        <v>18</v>
      </c>
      <c r="D7" s="1">
        <v>0.2</v>
      </c>
      <c r="E7" s="39">
        <f t="shared" si="0"/>
        <v>22</v>
      </c>
      <c r="H7">
        <v>7</v>
      </c>
      <c r="I7">
        <v>128</v>
      </c>
    </row>
    <row r="8" spans="2:9" thickBot="1">
      <c r="B8" s="35" t="s">
        <v>58</v>
      </c>
      <c r="C8" s="61">
        <v>200</v>
      </c>
      <c r="D8" s="38">
        <v>0.3</v>
      </c>
      <c r="E8" s="40">
        <f t="shared" si="0"/>
        <v>260</v>
      </c>
      <c r="H8">
        <v>8</v>
      </c>
      <c r="I8">
        <v>256</v>
      </c>
    </row>
    <row r="9" spans="2:9" thickBot="1">
      <c r="H9">
        <v>9</v>
      </c>
      <c r="I9">
        <v>512</v>
      </c>
    </row>
    <row r="10" spans="2:9" thickBot="1">
      <c r="B10" s="85" t="s">
        <v>142</v>
      </c>
      <c r="C10" s="86" t="s">
        <v>108</v>
      </c>
      <c r="D10" s="86" t="s">
        <v>143</v>
      </c>
      <c r="E10" s="86" t="s">
        <v>144</v>
      </c>
      <c r="F10" s="87" t="s">
        <v>110</v>
      </c>
    </row>
    <row r="11" spans="2:9" ht="14.45">
      <c r="B11" s="34" t="s">
        <v>58</v>
      </c>
      <c r="C11" s="1">
        <v>260</v>
      </c>
      <c r="D11" s="1" t="s">
        <v>145</v>
      </c>
      <c r="E11" s="1">
        <v>512</v>
      </c>
      <c r="F11" s="39" t="s">
        <v>116</v>
      </c>
    </row>
    <row r="12" spans="2:9" ht="14.45">
      <c r="B12" s="34" t="s">
        <v>53</v>
      </c>
      <c r="C12" s="1">
        <v>66</v>
      </c>
      <c r="D12" s="1" t="s">
        <v>146</v>
      </c>
      <c r="E12" s="1">
        <v>128</v>
      </c>
      <c r="F12" s="39" t="s">
        <v>147</v>
      </c>
    </row>
    <row r="13" spans="2:9" ht="14.45">
      <c r="B13" s="34" t="s">
        <v>55</v>
      </c>
      <c r="C13" s="1">
        <v>58</v>
      </c>
      <c r="D13" s="1" t="s">
        <v>148</v>
      </c>
      <c r="E13" s="1">
        <v>64</v>
      </c>
      <c r="F13" s="39" t="s">
        <v>149</v>
      </c>
    </row>
    <row r="14" spans="2:9" ht="14.45">
      <c r="B14" s="34" t="s">
        <v>46</v>
      </c>
      <c r="C14" s="1">
        <v>56</v>
      </c>
      <c r="D14" s="1" t="s">
        <v>148</v>
      </c>
      <c r="E14" s="1">
        <v>64</v>
      </c>
      <c r="F14" s="39" t="s">
        <v>149</v>
      </c>
    </row>
    <row r="15" spans="2:9" ht="14.45">
      <c r="B15" s="34" t="s">
        <v>57</v>
      </c>
      <c r="C15" s="1">
        <v>22</v>
      </c>
      <c r="D15" s="1" t="s">
        <v>150</v>
      </c>
      <c r="E15" s="1">
        <v>32</v>
      </c>
      <c r="F15" s="39" t="s">
        <v>151</v>
      </c>
    </row>
    <row r="16" spans="2:9" thickBot="1">
      <c r="B16" s="35" t="s">
        <v>152</v>
      </c>
      <c r="C16" s="38">
        <v>20</v>
      </c>
      <c r="D16" s="38" t="s">
        <v>150</v>
      </c>
      <c r="E16" s="38">
        <v>32</v>
      </c>
      <c r="F16" s="40" t="s">
        <v>151</v>
      </c>
    </row>
    <row r="18" spans="2:9" thickBot="1"/>
    <row r="19" spans="2:9">
      <c r="B19" s="83" t="s">
        <v>44</v>
      </c>
      <c r="C19" s="127" t="s">
        <v>108</v>
      </c>
      <c r="D19" s="127" t="s">
        <v>109</v>
      </c>
      <c r="E19" s="127" t="s">
        <v>110</v>
      </c>
      <c r="F19" s="127" t="s">
        <v>111</v>
      </c>
      <c r="G19" s="127" t="s">
        <v>153</v>
      </c>
      <c r="H19" s="127" t="s">
        <v>154</v>
      </c>
      <c r="I19" s="128" t="s">
        <v>114</v>
      </c>
    </row>
    <row r="20" spans="2:9">
      <c r="B20" s="112" t="s">
        <v>58</v>
      </c>
      <c r="C20" s="113">
        <v>260</v>
      </c>
      <c r="D20" s="113" t="s">
        <v>155</v>
      </c>
      <c r="E20" s="113" t="s">
        <v>116</v>
      </c>
      <c r="F20" s="113" t="s">
        <v>156</v>
      </c>
      <c r="G20" s="113" t="s">
        <v>157</v>
      </c>
      <c r="H20" s="113" t="s">
        <v>158</v>
      </c>
      <c r="I20" s="114">
        <f>512-2-260</f>
        <v>250</v>
      </c>
    </row>
    <row r="21" spans="2:9">
      <c r="B21" s="115" t="s">
        <v>53</v>
      </c>
      <c r="C21" s="88">
        <v>66</v>
      </c>
      <c r="D21" s="88" t="s">
        <v>159</v>
      </c>
      <c r="E21" s="88" t="s">
        <v>147</v>
      </c>
      <c r="F21" s="88" t="s">
        <v>160</v>
      </c>
      <c r="G21" s="88" t="s">
        <v>118</v>
      </c>
      <c r="H21" s="88" t="s">
        <v>161</v>
      </c>
      <c r="I21" s="90">
        <f>128-2-66</f>
        <v>60</v>
      </c>
    </row>
    <row r="22" spans="2:9">
      <c r="B22" s="115" t="s">
        <v>55</v>
      </c>
      <c r="C22" s="88">
        <v>58</v>
      </c>
      <c r="D22" s="88" t="s">
        <v>162</v>
      </c>
      <c r="E22" s="88" t="s">
        <v>149</v>
      </c>
      <c r="F22" s="88" t="s">
        <v>163</v>
      </c>
      <c r="G22" s="88" t="s">
        <v>164</v>
      </c>
      <c r="H22" s="88" t="s">
        <v>165</v>
      </c>
      <c r="I22" s="90">
        <f>64-2-58</f>
        <v>4</v>
      </c>
    </row>
    <row r="23" spans="2:9">
      <c r="B23" s="115" t="s">
        <v>46</v>
      </c>
      <c r="C23" s="88">
        <v>56</v>
      </c>
      <c r="D23" s="88" t="s">
        <v>166</v>
      </c>
      <c r="E23" s="88" t="s">
        <v>149</v>
      </c>
      <c r="F23" s="88" t="s">
        <v>167</v>
      </c>
      <c r="G23" s="88" t="s">
        <v>168</v>
      </c>
      <c r="H23" s="88" t="s">
        <v>169</v>
      </c>
      <c r="I23" s="90">
        <f>64-2-56</f>
        <v>6</v>
      </c>
    </row>
    <row r="24" spans="2:9">
      <c r="B24" s="115" t="s">
        <v>57</v>
      </c>
      <c r="C24" s="88">
        <v>22</v>
      </c>
      <c r="D24" s="88" t="s">
        <v>170</v>
      </c>
      <c r="E24" s="88" t="s">
        <v>151</v>
      </c>
      <c r="F24" s="88" t="s">
        <v>171</v>
      </c>
      <c r="G24" s="88" t="s">
        <v>172</v>
      </c>
      <c r="H24" s="88" t="s">
        <v>173</v>
      </c>
      <c r="I24" s="90">
        <f>32-2-22</f>
        <v>8</v>
      </c>
    </row>
    <row r="25" spans="2:9">
      <c r="B25" s="116" t="s">
        <v>152</v>
      </c>
      <c r="C25" s="117">
        <v>20</v>
      </c>
      <c r="D25" s="117" t="s">
        <v>174</v>
      </c>
      <c r="E25" s="117" t="s">
        <v>151</v>
      </c>
      <c r="F25" s="117" t="s">
        <v>175</v>
      </c>
      <c r="G25" s="117" t="s">
        <v>176</v>
      </c>
      <c r="H25" s="117" t="s">
        <v>177</v>
      </c>
      <c r="I25" s="118">
        <f>32-2-20</f>
        <v>10</v>
      </c>
    </row>
    <row r="26" spans="2:9">
      <c r="B26" s="119"/>
      <c r="C26" s="120"/>
      <c r="D26" s="120"/>
      <c r="E26" s="120"/>
      <c r="F26" s="120"/>
      <c r="G26" s="120"/>
      <c r="H26" s="110" t="s">
        <v>140</v>
      </c>
      <c r="I26" s="111">
        <f>SUM(I20:I25)</f>
        <v>338</v>
      </c>
    </row>
    <row r="27" spans="2:9" ht="15" customHeight="1">
      <c r="C27" s="1"/>
      <c r="D27" s="1"/>
      <c r="E27" s="1"/>
      <c r="F27" s="1"/>
      <c r="G27" s="1"/>
      <c r="H27" s="1"/>
      <c r="I27" s="1"/>
    </row>
    <row r="28" spans="2:9" ht="15" customHeight="1">
      <c r="C28" s="1"/>
      <c r="D28" s="1"/>
      <c r="E28" s="1"/>
      <c r="F28" s="1"/>
      <c r="G28" s="1"/>
      <c r="H28" s="1"/>
      <c r="I28" s="1"/>
    </row>
    <row r="29" spans="2:9" ht="15" customHeight="1">
      <c r="C29" s="1"/>
      <c r="D29" s="1"/>
      <c r="E29" s="1"/>
      <c r="F29" s="1"/>
      <c r="G29" s="1"/>
      <c r="H29" s="1"/>
      <c r="I29" s="1"/>
    </row>
    <row r="30" spans="2:9" ht="15" customHeight="1">
      <c r="C30" s="1"/>
      <c r="D30" s="1"/>
      <c r="E30" s="1"/>
      <c r="F30" s="1"/>
      <c r="G30" s="1"/>
      <c r="H30" s="1"/>
      <c r="I30" s="1"/>
    </row>
    <row r="31" spans="2:9" ht="15" customHeight="1">
      <c r="C31" s="1"/>
      <c r="D31" s="1"/>
      <c r="E31" s="1"/>
      <c r="F31" s="1"/>
      <c r="G31" s="1"/>
      <c r="H31" s="1"/>
      <c r="I31" s="1"/>
    </row>
    <row r="32" spans="2:9" ht="15" customHeight="1">
      <c r="C32" s="1"/>
      <c r="D32" s="1"/>
      <c r="E32" s="1"/>
      <c r="F32" s="1"/>
      <c r="G32" s="1"/>
      <c r="H32" s="1"/>
      <c r="I32" s="1"/>
    </row>
    <row r="33" spans="3:9" ht="15" customHeight="1">
      <c r="C33" s="1"/>
      <c r="D33" s="1"/>
      <c r="E33" s="1"/>
      <c r="F33" s="1"/>
      <c r="G33" s="1"/>
      <c r="H33" s="1"/>
      <c r="I33" s="1"/>
    </row>
    <row r="34" spans="3:9" ht="15" customHeight="1">
      <c r="C34" s="1"/>
      <c r="D34" s="1"/>
      <c r="E34" s="1"/>
      <c r="F34" s="1"/>
      <c r="G34" s="1"/>
      <c r="H34" s="1"/>
      <c r="I34" s="1"/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CDB5-D67C-442E-9AAF-DAA64F9EDD88}">
  <dimension ref="B2:E50"/>
  <sheetViews>
    <sheetView workbookViewId="0">
      <selection activeCell="B2" sqref="B2"/>
    </sheetView>
  </sheetViews>
  <sheetFormatPr defaultColWidth="9.140625" defaultRowHeight="14.45"/>
  <cols>
    <col min="1" max="1" width="3.5703125" style="1" customWidth="1"/>
    <col min="2" max="2" width="34.5703125" style="1" customWidth="1"/>
    <col min="3" max="3" width="23.7109375" style="1" customWidth="1"/>
    <col min="4" max="5" width="37.28515625" style="1" customWidth="1"/>
    <col min="6" max="16384" width="9.140625" style="1"/>
  </cols>
  <sheetData>
    <row r="2" spans="2:5" s="59" customFormat="1">
      <c r="B2" s="103" t="s">
        <v>178</v>
      </c>
      <c r="C2" s="104" t="s">
        <v>179</v>
      </c>
      <c r="D2" s="104" t="s">
        <v>180</v>
      </c>
      <c r="E2" s="105" t="s">
        <v>181</v>
      </c>
    </row>
    <row r="3" spans="2:5">
      <c r="B3" s="94" t="s">
        <v>182</v>
      </c>
      <c r="C3" s="95" t="s">
        <v>183</v>
      </c>
      <c r="D3" s="95" t="s">
        <v>184</v>
      </c>
      <c r="E3" s="96" t="s">
        <v>185</v>
      </c>
    </row>
    <row r="4" spans="2:5">
      <c r="B4" s="89" t="s">
        <v>186</v>
      </c>
      <c r="C4" s="88" t="s">
        <v>183</v>
      </c>
      <c r="D4" s="88" t="s">
        <v>187</v>
      </c>
      <c r="E4" s="90" t="s">
        <v>188</v>
      </c>
    </row>
    <row r="5" spans="2:5">
      <c r="B5" s="89" t="s">
        <v>189</v>
      </c>
      <c r="C5" s="88" t="s">
        <v>183</v>
      </c>
      <c r="D5" s="88" t="s">
        <v>190</v>
      </c>
      <c r="E5" s="90" t="s">
        <v>191</v>
      </c>
    </row>
    <row r="6" spans="2:5">
      <c r="B6" s="89" t="s">
        <v>192</v>
      </c>
      <c r="C6" s="88" t="s">
        <v>183</v>
      </c>
      <c r="D6" s="88" t="s">
        <v>193</v>
      </c>
      <c r="E6" s="90" t="s">
        <v>194</v>
      </c>
    </row>
    <row r="7" spans="2:5">
      <c r="B7" s="89" t="s">
        <v>195</v>
      </c>
      <c r="C7" s="88" t="s">
        <v>183</v>
      </c>
      <c r="D7" s="88" t="s">
        <v>196</v>
      </c>
      <c r="E7" s="90" t="s">
        <v>197</v>
      </c>
    </row>
    <row r="8" spans="2:5">
      <c r="B8" s="89" t="s">
        <v>195</v>
      </c>
      <c r="C8" s="88" t="s">
        <v>198</v>
      </c>
      <c r="D8" s="88" t="s">
        <v>199</v>
      </c>
      <c r="E8" s="90" t="s">
        <v>200</v>
      </c>
    </row>
    <row r="9" spans="2:5">
      <c r="B9" s="91" t="s">
        <v>195</v>
      </c>
      <c r="C9" s="92" t="s">
        <v>198</v>
      </c>
      <c r="D9" s="92" t="s">
        <v>201</v>
      </c>
      <c r="E9" s="93" t="s">
        <v>202</v>
      </c>
    </row>
    <row r="10" spans="2:5">
      <c r="B10" s="97" t="s">
        <v>203</v>
      </c>
      <c r="C10" s="98" t="s">
        <v>204</v>
      </c>
      <c r="D10" s="98" t="s">
        <v>205</v>
      </c>
      <c r="E10" s="99" t="s">
        <v>206</v>
      </c>
    </row>
    <row r="11" spans="2:5">
      <c r="B11" s="73" t="s">
        <v>207</v>
      </c>
      <c r="C11" s="62" t="s">
        <v>204</v>
      </c>
      <c r="D11" s="62" t="s">
        <v>208</v>
      </c>
      <c r="E11" s="74" t="s">
        <v>209</v>
      </c>
    </row>
    <row r="12" spans="2:5">
      <c r="B12" s="73" t="s">
        <v>210</v>
      </c>
      <c r="C12" s="62" t="s">
        <v>204</v>
      </c>
      <c r="D12" s="62" t="s">
        <v>211</v>
      </c>
      <c r="E12" s="74" t="s">
        <v>212</v>
      </c>
    </row>
    <row r="13" spans="2:5">
      <c r="B13" s="73" t="s">
        <v>213</v>
      </c>
      <c r="C13" s="62" t="s">
        <v>204</v>
      </c>
      <c r="D13" s="62" t="s">
        <v>214</v>
      </c>
      <c r="E13" s="74" t="s">
        <v>215</v>
      </c>
    </row>
    <row r="14" spans="2:5">
      <c r="B14" s="73" t="s">
        <v>216</v>
      </c>
      <c r="C14" s="62" t="s">
        <v>204</v>
      </c>
      <c r="D14" s="62" t="s">
        <v>217</v>
      </c>
      <c r="E14" s="74" t="s">
        <v>218</v>
      </c>
    </row>
    <row r="15" spans="2:5">
      <c r="B15" s="73" t="s">
        <v>210</v>
      </c>
      <c r="C15" s="62" t="s">
        <v>198</v>
      </c>
      <c r="D15" s="62" t="s">
        <v>219</v>
      </c>
      <c r="E15" s="74" t="s">
        <v>220</v>
      </c>
    </row>
    <row r="16" spans="2:5">
      <c r="B16" s="73" t="s">
        <v>213</v>
      </c>
      <c r="C16" s="62" t="s">
        <v>198</v>
      </c>
      <c r="D16" s="62" t="s">
        <v>221</v>
      </c>
      <c r="E16" s="74" t="s">
        <v>222</v>
      </c>
    </row>
    <row r="17" spans="2:5">
      <c r="B17" s="73" t="s">
        <v>210</v>
      </c>
      <c r="C17" s="62" t="s">
        <v>183</v>
      </c>
      <c r="D17" s="62" t="s">
        <v>223</v>
      </c>
      <c r="E17" s="74" t="s">
        <v>224</v>
      </c>
    </row>
    <row r="18" spans="2:5">
      <c r="B18" s="73" t="s">
        <v>213</v>
      </c>
      <c r="C18" s="62" t="s">
        <v>183</v>
      </c>
      <c r="D18" s="62" t="s">
        <v>225</v>
      </c>
      <c r="E18" s="74" t="s">
        <v>226</v>
      </c>
    </row>
    <row r="19" spans="2:5">
      <c r="B19" s="73" t="s">
        <v>227</v>
      </c>
      <c r="C19" s="62" t="s">
        <v>228</v>
      </c>
      <c r="D19" s="62" t="s">
        <v>229</v>
      </c>
      <c r="E19" s="74" t="s">
        <v>230</v>
      </c>
    </row>
    <row r="20" spans="2:5">
      <c r="B20" s="73" t="s">
        <v>231</v>
      </c>
      <c r="C20" s="62" t="s">
        <v>228</v>
      </c>
      <c r="D20" s="62" t="s">
        <v>232</v>
      </c>
      <c r="E20" s="74" t="s">
        <v>233</v>
      </c>
    </row>
    <row r="21" spans="2:5">
      <c r="B21" s="73" t="s">
        <v>210</v>
      </c>
      <c r="C21" s="62" t="s">
        <v>228</v>
      </c>
      <c r="D21" s="62" t="s">
        <v>234</v>
      </c>
      <c r="E21" s="74" t="s">
        <v>235</v>
      </c>
    </row>
    <row r="22" spans="2:5">
      <c r="B22" s="100" t="s">
        <v>213</v>
      </c>
      <c r="C22" s="101" t="s">
        <v>228</v>
      </c>
      <c r="D22" s="101" t="s">
        <v>236</v>
      </c>
      <c r="E22" s="102" t="s">
        <v>237</v>
      </c>
    </row>
    <row r="23" spans="2:5">
      <c r="B23" s="94" t="s">
        <v>238</v>
      </c>
      <c r="C23" s="95" t="s">
        <v>198</v>
      </c>
      <c r="D23" s="95" t="s">
        <v>239</v>
      </c>
      <c r="E23" s="96" t="s">
        <v>240</v>
      </c>
    </row>
    <row r="24" spans="2:5">
      <c r="B24" s="89" t="s">
        <v>241</v>
      </c>
      <c r="C24" s="88" t="s">
        <v>198</v>
      </c>
      <c r="D24" s="88" t="s">
        <v>242</v>
      </c>
      <c r="E24" s="90" t="s">
        <v>243</v>
      </c>
    </row>
    <row r="25" spans="2:5">
      <c r="B25" s="89" t="s">
        <v>244</v>
      </c>
      <c r="C25" s="88" t="s">
        <v>198</v>
      </c>
      <c r="D25" s="88" t="s">
        <v>245</v>
      </c>
      <c r="E25" s="90" t="s">
        <v>246</v>
      </c>
    </row>
    <row r="26" spans="2:5">
      <c r="B26" s="89" t="s">
        <v>247</v>
      </c>
      <c r="C26" s="88" t="s">
        <v>198</v>
      </c>
      <c r="D26" s="88" t="s">
        <v>248</v>
      </c>
      <c r="E26" s="90" t="s">
        <v>249</v>
      </c>
    </row>
    <row r="27" spans="2:5">
      <c r="B27" s="89" t="s">
        <v>250</v>
      </c>
      <c r="C27" s="88" t="s">
        <v>198</v>
      </c>
      <c r="D27" s="88" t="s">
        <v>251</v>
      </c>
      <c r="E27" s="90" t="s">
        <v>252</v>
      </c>
    </row>
    <row r="28" spans="2:5">
      <c r="B28" s="89" t="s">
        <v>253</v>
      </c>
      <c r="C28" s="88" t="s">
        <v>198</v>
      </c>
      <c r="D28" s="88" t="s">
        <v>254</v>
      </c>
      <c r="E28" s="90" t="s">
        <v>255</v>
      </c>
    </row>
    <row r="29" spans="2:5">
      <c r="B29" s="89" t="s">
        <v>256</v>
      </c>
      <c r="C29" s="88" t="s">
        <v>228</v>
      </c>
      <c r="D29" s="88" t="s">
        <v>257</v>
      </c>
      <c r="E29" s="90" t="s">
        <v>258</v>
      </c>
    </row>
    <row r="30" spans="2:5">
      <c r="B30" s="89" t="s">
        <v>259</v>
      </c>
      <c r="C30" s="88" t="s">
        <v>228</v>
      </c>
      <c r="D30" s="88" t="s">
        <v>260</v>
      </c>
      <c r="E30" s="90" t="s">
        <v>261</v>
      </c>
    </row>
    <row r="31" spans="2:5">
      <c r="B31" s="91" t="s">
        <v>262</v>
      </c>
      <c r="C31" s="92" t="s">
        <v>228</v>
      </c>
      <c r="D31" s="92" t="s">
        <v>263</v>
      </c>
      <c r="E31" s="93" t="s">
        <v>264</v>
      </c>
    </row>
    <row r="32" spans="2:5">
      <c r="B32" s="97" t="s">
        <v>265</v>
      </c>
      <c r="C32" s="98" t="s">
        <v>183</v>
      </c>
      <c r="D32" s="98" t="s">
        <v>266</v>
      </c>
      <c r="E32" s="99" t="s">
        <v>267</v>
      </c>
    </row>
    <row r="33" spans="2:5">
      <c r="B33" s="73" t="s">
        <v>268</v>
      </c>
      <c r="C33" s="62" t="s">
        <v>183</v>
      </c>
      <c r="D33" s="62" t="s">
        <v>269</v>
      </c>
      <c r="E33" s="74" t="s">
        <v>270</v>
      </c>
    </row>
    <row r="34" spans="2:5">
      <c r="B34" s="73" t="s">
        <v>271</v>
      </c>
      <c r="C34" s="62" t="s">
        <v>204</v>
      </c>
      <c r="D34" s="62" t="s">
        <v>272</v>
      </c>
      <c r="E34" s="74" t="s">
        <v>273</v>
      </c>
    </row>
    <row r="35" spans="2:5">
      <c r="B35" s="100" t="s">
        <v>274</v>
      </c>
      <c r="C35" s="101" t="s">
        <v>204</v>
      </c>
      <c r="D35" s="101" t="s">
        <v>275</v>
      </c>
      <c r="E35" s="102" t="s">
        <v>276</v>
      </c>
    </row>
    <row r="36" spans="2:5">
      <c r="B36" s="94" t="s">
        <v>277</v>
      </c>
      <c r="C36" s="95" t="s">
        <v>183</v>
      </c>
      <c r="D36" s="95" t="s">
        <v>278</v>
      </c>
      <c r="E36" s="96" t="s">
        <v>279</v>
      </c>
    </row>
    <row r="37" spans="2:5">
      <c r="B37" s="89" t="s">
        <v>280</v>
      </c>
      <c r="C37" s="88" t="s">
        <v>198</v>
      </c>
      <c r="D37" s="88" t="s">
        <v>281</v>
      </c>
      <c r="E37" s="90" t="s">
        <v>282</v>
      </c>
    </row>
    <row r="38" spans="2:5">
      <c r="B38" s="89" t="s">
        <v>283</v>
      </c>
      <c r="C38" s="88" t="s">
        <v>198</v>
      </c>
      <c r="D38" s="88" t="s">
        <v>284</v>
      </c>
      <c r="E38" s="90" t="s">
        <v>285</v>
      </c>
    </row>
    <row r="39" spans="2:5">
      <c r="B39" s="91" t="s">
        <v>286</v>
      </c>
      <c r="C39" s="92" t="s">
        <v>198</v>
      </c>
      <c r="D39" s="92" t="s">
        <v>287</v>
      </c>
      <c r="E39" s="93" t="s">
        <v>288</v>
      </c>
    </row>
    <row r="40" spans="2:5">
      <c r="B40" s="97" t="s">
        <v>289</v>
      </c>
      <c r="C40" s="98" t="s">
        <v>198</v>
      </c>
      <c r="D40" s="98" t="s">
        <v>290</v>
      </c>
      <c r="E40" s="99" t="s">
        <v>291</v>
      </c>
    </row>
    <row r="41" spans="2:5">
      <c r="B41" s="73" t="s">
        <v>292</v>
      </c>
      <c r="C41" s="62" t="s">
        <v>198</v>
      </c>
      <c r="D41" s="62" t="s">
        <v>293</v>
      </c>
      <c r="E41" s="74" t="s">
        <v>294</v>
      </c>
    </row>
    <row r="42" spans="2:5">
      <c r="B42" s="73" t="s">
        <v>295</v>
      </c>
      <c r="C42" s="62" t="s">
        <v>228</v>
      </c>
      <c r="D42" s="62" t="s">
        <v>296</v>
      </c>
      <c r="E42" s="74" t="s">
        <v>297</v>
      </c>
    </row>
    <row r="43" spans="2:5">
      <c r="B43" s="73" t="s">
        <v>298</v>
      </c>
      <c r="C43" s="62" t="s">
        <v>228</v>
      </c>
      <c r="D43" s="62" t="s">
        <v>299</v>
      </c>
      <c r="E43" s="74" t="s">
        <v>300</v>
      </c>
    </row>
    <row r="44" spans="2:5">
      <c r="B44" s="73" t="s">
        <v>301</v>
      </c>
      <c r="C44" s="62" t="s">
        <v>228</v>
      </c>
      <c r="D44" s="62" t="s">
        <v>302</v>
      </c>
      <c r="E44" s="74" t="s">
        <v>303</v>
      </c>
    </row>
    <row r="45" spans="2:5">
      <c r="B45" s="73" t="s">
        <v>304</v>
      </c>
      <c r="C45" s="62" t="s">
        <v>228</v>
      </c>
      <c r="D45" s="62" t="s">
        <v>305</v>
      </c>
      <c r="E45" s="74" t="s">
        <v>306</v>
      </c>
    </row>
    <row r="46" spans="2:5">
      <c r="B46" s="73" t="s">
        <v>307</v>
      </c>
      <c r="C46" s="62" t="s">
        <v>228</v>
      </c>
      <c r="D46" s="62" t="s">
        <v>308</v>
      </c>
      <c r="E46" s="74" t="s">
        <v>309</v>
      </c>
    </row>
    <row r="47" spans="2:5">
      <c r="B47" s="73" t="s">
        <v>310</v>
      </c>
      <c r="C47" s="62" t="s">
        <v>228</v>
      </c>
      <c r="D47" s="62" t="s">
        <v>311</v>
      </c>
      <c r="E47" s="74" t="s">
        <v>312</v>
      </c>
    </row>
    <row r="48" spans="2:5">
      <c r="B48" s="73" t="s">
        <v>313</v>
      </c>
      <c r="C48" s="62" t="s">
        <v>228</v>
      </c>
      <c r="D48" s="62" t="s">
        <v>314</v>
      </c>
      <c r="E48" s="74" t="s">
        <v>315</v>
      </c>
    </row>
    <row r="49" spans="2:5">
      <c r="B49" s="73" t="s">
        <v>316</v>
      </c>
      <c r="C49" s="62" t="s">
        <v>228</v>
      </c>
      <c r="D49" s="62" t="s">
        <v>317</v>
      </c>
      <c r="E49" s="74" t="s">
        <v>318</v>
      </c>
    </row>
    <row r="50" spans="2:5">
      <c r="B50" s="100" t="s">
        <v>319</v>
      </c>
      <c r="C50" s="101" t="s">
        <v>228</v>
      </c>
      <c r="D50" s="106" t="s">
        <v>320</v>
      </c>
      <c r="E50" s="102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2025-04-21T13:33:24Z</dcterms:created>
  <dcterms:modified xsi:type="dcterms:W3CDTF">2025-05-01T21:19:21Z</dcterms:modified>
  <cp:category/>
  <cp:contentStatus/>
</cp:coreProperties>
</file>